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lijahmirandilla/Documents/Claude Workstation/.tmp/"/>
    </mc:Choice>
  </mc:AlternateContent>
  <xr:revisionPtr revIDLastSave="0" documentId="13_ncr:1_{DCC375E4-4C00-6B49-B666-5B50F4F836E1}" xr6:coauthVersionLast="47" xr6:coauthVersionMax="47" xr10:uidLastSave="{00000000-0000-0000-0000-000000000000}"/>
  <bookViews>
    <workbookView xWindow="0" yWindow="660" windowWidth="30240" windowHeight="17740" activeTab="8" xr2:uid="{00000000-000D-0000-FFFF-FFFF00000000}"/>
  </bookViews>
  <sheets>
    <sheet name="Cover" sheetId="1" r:id="rId1"/>
    <sheet name="Assumptions" sheetId="2" r:id="rId2"/>
    <sheet name="COGS Calculator" sheetId="3" r:id="rId3"/>
    <sheet name="Tier Economics" sheetId="4" r:id="rId4"/>
    <sheet name="Scenarios" sheetId="5" r:id="rId5"/>
    <sheet name="Setup Fees" sheetId="6" r:id="rId6"/>
    <sheet name="Fixed Costs" sheetId="7" r:id="rId7"/>
    <sheet name="Year-1 Projection" sheetId="8" r:id="rId8"/>
    <sheet name="Risk Register" sheetId="9" r:id="rId9"/>
  </sheets>
  <definedNames>
    <definedName name="IN_ANCHOR_CLIENTS">Assumptions!$B$21</definedName>
    <definedName name="IN_AVG_CHAT_DURATION">Assumptions!$B$13</definedName>
    <definedName name="IN_AVG_VOICE_DURATION">Assumptions!$B$12</definedName>
    <definedName name="IN_ELEVEN_BASE_USD_MO">Assumptions!$B$17</definedName>
    <definedName name="IN_ELEVEN_USD_MIN">Assumptions!$B$8</definedName>
    <definedName name="IN_FIXED_ALLOC_CLIENTS">Assumptions!$B$22</definedName>
    <definedName name="IN_FX_EUR_AUD">Assumptions!$B$6</definedName>
    <definedName name="IN_FX_USD_AUD">Assumptions!$B$5</definedName>
    <definedName name="IN_INBOUND_RATIO">Assumptions!$B$14</definedName>
    <definedName name="IN_N8N_HOST_USD_MO">Assumptions!$B$16</definedName>
    <definedName name="IN_RETELL_KB_USD_MO">Assumptions!$B$19</definedName>
    <definedName name="IN_RETELL_USD_MIN">Assumptions!$B$7</definedName>
    <definedName name="IN_SUPABASE_USD_MO">Assumptions!$B$15</definedName>
    <definedName name="IN_TARGET_GM">Assumptions!$B$20</definedName>
    <definedName name="IN_TWILIO_IN_AUD_MIN">Assumptions!$B$9</definedName>
    <definedName name="IN_TWILIO_NUMBER_AUD">Assumptions!$B$11</definedName>
    <definedName name="IN_TWILIO_OUT_AUD_MIN">Assumptions!$B$10</definedName>
    <definedName name="IN_VERCEL_AUD_MO">Assumptions!$B$18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A19" i="3"/>
  <c r="A11" i="3"/>
  <c r="E11" i="3"/>
  <c r="N10" i="8"/>
  <c r="N9" i="8"/>
  <c r="N8" i="8"/>
  <c r="M8" i="8"/>
  <c r="L8" i="8"/>
  <c r="K8" i="8"/>
  <c r="J8" i="8"/>
  <c r="I8" i="8"/>
  <c r="H8" i="8"/>
  <c r="G8" i="8"/>
  <c r="F8" i="8"/>
  <c r="E8" i="8"/>
  <c r="D8" i="8"/>
  <c r="C8" i="8"/>
  <c r="B8" i="8"/>
  <c r="N7" i="8"/>
  <c r="N6" i="8"/>
  <c r="N5" i="8"/>
  <c r="D13" i="7"/>
  <c r="D12" i="7"/>
  <c r="H15" i="5"/>
  <c r="G15" i="5"/>
  <c r="F15" i="5"/>
  <c r="E15" i="5"/>
  <c r="H14" i="5"/>
  <c r="G14" i="5"/>
  <c r="F14" i="5"/>
  <c r="E14" i="5"/>
  <c r="H13" i="5"/>
  <c r="G13" i="5"/>
  <c r="F13" i="5"/>
  <c r="E13" i="5"/>
  <c r="H8" i="5"/>
  <c r="G8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B23" i="4"/>
  <c r="C22" i="4"/>
  <c r="B22" i="4"/>
  <c r="B21" i="4"/>
  <c r="B20" i="4"/>
  <c r="F15" i="4"/>
  <c r="E15" i="4"/>
  <c r="F14" i="4"/>
  <c r="D14" i="4"/>
  <c r="B14" i="4"/>
  <c r="F13" i="4"/>
  <c r="D13" i="4"/>
  <c r="B13" i="4"/>
  <c r="F12" i="4"/>
  <c r="D12" i="4"/>
  <c r="B12" i="4"/>
  <c r="G8" i="4"/>
  <c r="G7" i="4"/>
  <c r="G6" i="4"/>
  <c r="G5" i="4"/>
  <c r="E16" i="3"/>
  <c r="D16" i="3"/>
  <c r="C16" i="3"/>
  <c r="E9" i="3"/>
  <c r="E8" i="3"/>
  <c r="D8" i="3"/>
  <c r="C8" i="3"/>
  <c r="E7" i="3"/>
  <c r="D7" i="3"/>
  <c r="C7" i="3"/>
  <c r="E6" i="3"/>
  <c r="D6" i="3"/>
  <c r="C6" i="3"/>
  <c r="I8" i="5" l="1"/>
  <c r="I15" i="5"/>
  <c r="I14" i="5"/>
  <c r="I7" i="5"/>
  <c r="C23" i="4"/>
  <c r="G15" i="4"/>
  <c r="E14" i="4"/>
  <c r="G14" i="4" s="1"/>
  <c r="C21" i="4"/>
  <c r="C20" i="4"/>
  <c r="I6" i="5"/>
  <c r="E13" i="4"/>
  <c r="G13" i="4" s="1"/>
  <c r="E12" i="4"/>
  <c r="G12" i="4" s="1"/>
  <c r="G16" i="4" s="1"/>
  <c r="I13" i="5"/>
  <c r="B29" i="3"/>
  <c r="B28" i="3"/>
  <c r="B27" i="3"/>
  <c r="B26" i="3"/>
  <c r="B25" i="3"/>
  <c r="B24" i="3"/>
  <c r="E19" i="3"/>
  <c r="E17" i="3"/>
  <c r="M11" i="8"/>
  <c r="M12" i="8" s="1"/>
  <c r="L11" i="8"/>
  <c r="L12" i="8" s="1"/>
  <c r="K11" i="8"/>
  <c r="K12" i="8" s="1"/>
  <c r="J11" i="8"/>
  <c r="J12" i="8" s="1"/>
  <c r="I11" i="8"/>
  <c r="I12" i="8" s="1"/>
  <c r="H11" i="8"/>
  <c r="H12" i="8" s="1"/>
  <c r="G11" i="8"/>
  <c r="G12" i="8" s="1"/>
  <c r="F11" i="8"/>
  <c r="F12" i="8" s="1"/>
  <c r="E11" i="8"/>
  <c r="E12" i="8" s="1"/>
  <c r="D11" i="8"/>
  <c r="D12" i="8" s="1"/>
  <c r="C11" i="8"/>
  <c r="C12" i="8" s="1"/>
  <c r="B11" i="8"/>
  <c r="I5" i="5"/>
  <c r="D20" i="4" l="1"/>
  <c r="E20" i="4" s="1"/>
  <c r="D21" i="4"/>
  <c r="E21" i="4" s="1"/>
  <c r="F21" i="4" s="1"/>
  <c r="G21" i="4" s="1"/>
  <c r="D22" i="4"/>
  <c r="E22" i="4" s="1"/>
  <c r="F22" i="4" s="1"/>
  <c r="G22" i="4" s="1"/>
  <c r="D23" i="4"/>
  <c r="E23" i="4" s="1"/>
  <c r="F23" i="4" s="1"/>
  <c r="G23" i="4" s="1"/>
  <c r="D29" i="3"/>
  <c r="E29" i="3"/>
  <c r="D28" i="3"/>
  <c r="E28" i="3"/>
  <c r="D27" i="3"/>
  <c r="E27" i="3"/>
  <c r="D26" i="3"/>
  <c r="E26" i="3"/>
  <c r="D25" i="3"/>
  <c r="E25" i="3"/>
  <c r="E24" i="3"/>
  <c r="N11" i="8"/>
  <c r="N12" i="8" s="1"/>
  <c r="B12" i="8"/>
  <c r="F20" i="4" l="1"/>
  <c r="G20" i="4" s="1"/>
</calcChain>
</file>

<file path=xl/sharedStrings.xml><?xml version="1.0" encoding="utf-8"?>
<sst xmlns="http://schemas.openxmlformats.org/spreadsheetml/2006/main" count="305" uniqueCount="255">
  <si>
    <t>Penny SAAS — Pricing Model</t>
  </si>
  <si>
    <t>Prepared 18 May 2026  •  For founder review  •  AUD pricing  •  AU/NZ market</t>
  </si>
  <si>
    <t>This workbook is the math foundation of the Penny pricing proposal.</t>
  </si>
  <si>
    <t>How to use this model:</t>
  </si>
  <si>
    <t xml:space="preserve">  1. Open the 'Assumptions' tab — edit any yellow input cell to change cost or pricing inputs.</t>
  </si>
  <si>
    <t xml:space="preserve">  2. The 'Tier Economics' and 'Scenarios' tabs recalculate automatically.</t>
  </si>
  <si>
    <t xml:space="preserve">  3. Use 'Year-1 Projection' to model anchor-client ramp (5 → 10 clients).</t>
  </si>
  <si>
    <t xml:space="preserve">  4. 'Setup Fees', 'Fixed Costs', and 'Risk Register' are reference tabs.</t>
  </si>
  <si>
    <t>Conventions:</t>
  </si>
  <si>
    <t xml:space="preserve">  • Yellow cells = editable inputs (founder can tweak)</t>
  </si>
  <si>
    <t xml:space="preserve">  • White cells with borders = calculated outputs</t>
  </si>
  <si>
    <t xml:space="preserve">  • All currency in AUD unless explicitly noted as USD/EUR</t>
  </si>
  <si>
    <t xml:space="preserve">  • COGS = variable cost only. Fixed platform costs allocated separately.</t>
  </si>
  <si>
    <t xml:space="preserve">  • Gross margin target: ≥ 60% at full tier utilisation</t>
  </si>
  <si>
    <t>Tabs:</t>
  </si>
  <si>
    <t xml:space="preserve">  • Assumptions      — All editable input cells (Retell, ElevenLabs, Twilio, OpenAI, n8n, Supabase, FX)</t>
  </si>
  <si>
    <t xml:space="preserve">  • Tier Economics   — 4 tiers (Starter / Growth / Scale / Enterprise) with revenue, COGS, margin</t>
  </si>
  <si>
    <t xml:space="preserve">  • Scenarios        — Low / Medium / High usage clients on each tier</t>
  </si>
  <si>
    <t xml:space="preserve">  • Setup Fees       — 3 onboarding packages</t>
  </si>
  <si>
    <t xml:space="preserve">  • Fixed Costs      — Monthly platform overhead</t>
  </si>
  <si>
    <t xml:space="preserve">  • Year-1 Projection— Anchor client ramp model</t>
  </si>
  <si>
    <t xml:space="preserve">  • Risk Register    — 6 cost-risk callouts with mitigations</t>
  </si>
  <si>
    <t>Assumptions (editable inputs)</t>
  </si>
  <si>
    <t>Yellow cells are editable. All other tabs recalculate from these.</t>
  </si>
  <si>
    <t>Input</t>
  </si>
  <si>
    <t>Value</t>
  </si>
  <si>
    <t>Format</t>
  </si>
  <si>
    <t>Notes</t>
  </si>
  <si>
    <t>USD → AUD</t>
  </si>
  <si>
    <t>0.0000</t>
  </si>
  <si>
    <t>FX rate. Used to convert USD-priced services to AUD.</t>
  </si>
  <si>
    <t>EUR → AUD</t>
  </si>
  <si>
    <t>FX rate. Used to convert EUR-priced services (n8n) to AUD.</t>
  </si>
  <si>
    <t>Retell all-in (USD/min)</t>
  </si>
  <si>
    <t>$#,##0.0000</t>
  </si>
  <si>
    <t>Retell voice: infra + ElevenLabs TTS + GPT-4o LLM. Range $0.07–$0.31 depending on voice.</t>
  </si>
  <si>
    <t>ElevenLabs ConvAI (USD/min)</t>
  </si>
  <si>
    <t>Chat agent per-min. Standard $0.08, Turbo $0.10, Premium $0.12.</t>
  </si>
  <si>
    <t>Twilio AU inbound local (AUD/min)</t>
  </si>
  <si>
    <t>AU local inbound rate.</t>
  </si>
  <si>
    <t>Twilio AU outbound local (AUD/min)</t>
  </si>
  <si>
    <t>AU outbound local. Mobile outbound is 3x ($0.075).</t>
  </si>
  <si>
    <t>Twilio AU local number (AUD/mo)</t>
  </si>
  <si>
    <t>$#,##0.00</t>
  </si>
  <si>
    <t>Monthly rental per dedicated client number.</t>
  </si>
  <si>
    <t>Avg voice call duration (min)</t>
  </si>
  <si>
    <t>0.0</t>
  </si>
  <si>
    <t>Used for per-call COGS calculation.</t>
  </si>
  <si>
    <t>Avg chat session duration (min)</t>
  </si>
  <si>
    <t>ElevenLabs bills session duration even for text chat.</t>
  </si>
  <si>
    <t>Inbound call ratio (%)</t>
  </si>
  <si>
    <t>0%</t>
  </si>
  <si>
    <t>Most calls inbound. Outbound campaigns priced separately.</t>
  </si>
  <si>
    <t>Supabase Pro (USD/mo)</t>
  </si>
  <si>
    <t>Fixed platform cost. Covers all clients up to 100K MAU.</t>
  </si>
  <si>
    <t>n8n Hostinger KVM 2 (USD/mo)</t>
  </si>
  <si>
    <t>Recommended self-host. n8n Cloud Pro is €50 if you stay on cloud.</t>
  </si>
  <si>
    <t>ElevenLabs Pro base plan (USD/mo)</t>
  </si>
  <si>
    <t>Required floor to unlock Agents add-on.</t>
  </si>
  <si>
    <t>Vercel / hosting (AUD/mo)</t>
  </si>
  <si>
    <t>Web dashboard hosting.</t>
  </si>
  <si>
    <t>Retell KB cost beyond 10 (USD/KB/mo)</t>
  </si>
  <si>
    <t>First 10 KBs free. Cost only applies once you exceed 10 clients.</t>
  </si>
  <si>
    <t>Target gross margin (%)</t>
  </si>
  <si>
    <t>Floor for healthy SAAS. Used for sanity checks, not formulas.</t>
  </si>
  <si>
    <t>Anchor clients Year 1 (count)</t>
  </si>
  <si>
    <t>0</t>
  </si>
  <si>
    <t>Midpoint of 5–10 target. Used in Year-1 Projection.</t>
  </si>
  <si>
    <t>Fixed-cost allocation across (clients)</t>
  </si>
  <si>
    <t>Number of clients sharing fixed platform costs. Conservative = use 8.</t>
  </si>
  <si>
    <t>COGS Calculator (per minute / per session)</t>
  </si>
  <si>
    <t>Variable cost per unit. Drives tier overage rates and margin math.</t>
  </si>
  <si>
    <t>Voice call — cost per minute (AUD)</t>
  </si>
  <si>
    <t>Layer</t>
  </si>
  <si>
    <t>Source</t>
  </si>
  <si>
    <t>Rate</t>
  </si>
  <si>
    <t>Currency factor</t>
  </si>
  <si>
    <t>AUD/min</t>
  </si>
  <si>
    <t>Retell AI (infra+TTS+LLM)</t>
  </si>
  <si>
    <t>Assumptions</t>
  </si>
  <si>
    <t>Twilio inbound (weighted)</t>
  </si>
  <si>
    <t>Twilio outbound (weighted)</t>
  </si>
  <si>
    <t>TOTAL voice AUD/min</t>
  </si>
  <si>
    <t>Chat session — cost per minute (AUD)</t>
  </si>
  <si>
    <t>ElevenLabs ConvAI</t>
  </si>
  <si>
    <t>TOTAL chat AUD/min</t>
  </si>
  <si>
    <t>Overage markup math</t>
  </si>
  <si>
    <t>Channel</t>
  </si>
  <si>
    <t>Cost AUD/min</t>
  </si>
  <si>
    <t>Overage AUD/min</t>
  </si>
  <si>
    <t>Markup multiple</t>
  </si>
  <si>
    <t>Markup %</t>
  </si>
  <si>
    <t>Voice — Starter overage</t>
  </si>
  <si>
    <t>Voice — Growth overage</t>
  </si>
  <si>
    <t>Voice — Scale overage</t>
  </si>
  <si>
    <t>Chat — Starter overage</t>
  </si>
  <si>
    <t>Chat — Growth overage</t>
  </si>
  <si>
    <t>Chat — Scale overage</t>
  </si>
  <si>
    <t>Tier Economics (revenue, COGS, margin at full utilisation)</t>
  </si>
  <si>
    <t>Assumes 100% of included usage consumed. Real-world utilisation often 60–80%.</t>
  </si>
  <si>
    <t>Tier</t>
  </si>
  <si>
    <t>Monthly AUD</t>
  </si>
  <si>
    <t>Voice min (inc.)</t>
  </si>
  <si>
    <t>Chat min (inc.)</t>
  </si>
  <si>
    <t>Voice $/min over</t>
  </si>
  <si>
    <t>Chat $/min over</t>
  </si>
  <si>
    <t>Variable COGS (at cap)</t>
  </si>
  <si>
    <t>Starter</t>
  </si>
  <si>
    <t>Growth</t>
  </si>
  <si>
    <t>Scale</t>
  </si>
  <si>
    <t>Enterprise</t>
  </si>
  <si>
    <t>Fixed cost allocation per client (shared across all clients)</t>
  </si>
  <si>
    <t>Component</t>
  </si>
  <si>
    <t>USD/mo</t>
  </si>
  <si>
    <t>EUR/mo</t>
  </si>
  <si>
    <t>FX</t>
  </si>
  <si>
    <t>AUD/mo</t>
  </si>
  <si>
    <t>÷ N clients</t>
  </si>
  <si>
    <t>AUD/client/mo</t>
  </si>
  <si>
    <t>Supabase Pro</t>
  </si>
  <si>
    <t>n8n Hostinger KVM 2</t>
  </si>
  <si>
    <t>ElevenLabs Pro base</t>
  </si>
  <si>
    <t>Vercel / hosting</t>
  </si>
  <si>
    <t>Fixed cost per client (AUD/mo)</t>
  </si>
  <si>
    <t>Margin summary — at full tier utilisation</t>
  </si>
  <si>
    <t>Revenue</t>
  </si>
  <si>
    <t>Variable COGS</t>
  </si>
  <si>
    <t>Fixed alloc</t>
  </si>
  <si>
    <t>Total COGS</t>
  </si>
  <si>
    <t>Gross profit</t>
  </si>
  <si>
    <t>Gross margin %</t>
  </si>
  <si>
    <t>Scenarios — what does a typical client cost vs pay?</t>
  </si>
  <si>
    <t>Forecasts margin across realistic usage profiles. Helps decide which tier to sell to a given client.</t>
  </si>
  <si>
    <t>Scenario</t>
  </si>
  <si>
    <t>Suggested tier</t>
  </si>
  <si>
    <t>Voice min</t>
  </si>
  <si>
    <t>Chat min</t>
  </si>
  <si>
    <t>Tier revenue</t>
  </si>
  <si>
    <t>Tier included</t>
  </si>
  <si>
    <t>Overage charged</t>
  </si>
  <si>
    <t>Light user (small office)</t>
  </si>
  <si>
    <t>Active SMB (storage, dental)</t>
  </si>
  <si>
    <t>Mid-market multi-location</t>
  </si>
  <si>
    <t>Heavy enterprise</t>
  </si>
  <si>
    <t>Custom client estimator — enter your own usage</t>
  </si>
  <si>
    <t>My client #1</t>
  </si>
  <si>
    <t>My client #2</t>
  </si>
  <si>
    <t>My client #3</t>
  </si>
  <si>
    <t>Setup Fees — one-time, per client</t>
  </si>
  <si>
    <t>Recovers onboarding labour. Approximate engineering rate: AUD $1,500–$2,500/day.</t>
  </si>
  <si>
    <t>Package</t>
  </si>
  <si>
    <t>Fee (AUD)</t>
  </si>
  <si>
    <t>What's included</t>
  </si>
  <si>
    <t>Effort estimate</t>
  </si>
  <si>
    <t>Lite Setup</t>
  </si>
  <si>
    <t>Standard KB upload (up to 20 docs), 1 Twilio AU local number, default web widget, 2 standard n8n workflows (booking + inquiry), 2hr training, 1 week post-launch support</t>
  </si>
  <si>
    <t>~3 days dev work</t>
  </si>
  <si>
    <t>Standard Setup</t>
  </si>
  <si>
    <t>Custom KB tuning, 1-2 Twilio numbers (local + mobile), branded web widget, up to 5 custom n8n workflows, CRM hand-off, 5hr training, 2 weeks support</t>
  </si>
  <si>
    <t>~5-7 days dev work</t>
  </si>
  <si>
    <t>Enterprise Setup</t>
  </si>
  <si>
    <t>Custom ElevenLabs voice clone, multi-agent flows, full CRM integration, dedicated workflow build, SLA, 4 weeks support — from $8K, scope-priced</t>
  </si>
  <si>
    <t>10+ days dev work, sales-led</t>
  </si>
  <si>
    <t>Fixed Platform Costs (monthly, before any client revenue)</t>
  </si>
  <si>
    <t>These costs exist regardless of client count. Divide across all clients to estimate fixed-cost drag per client.</t>
  </si>
  <si>
    <t>Service</t>
  </si>
  <si>
    <t>Plan</t>
  </si>
  <si>
    <t>Native price</t>
  </si>
  <si>
    <t>Monthly AUD (est.)</t>
  </si>
  <si>
    <t>Supabase</t>
  </si>
  <si>
    <t>Pro</t>
  </si>
  <si>
    <t>USD $25</t>
  </si>
  <si>
    <t>8GB DB, 100K MAU, 100GB storage, 250GB egress. Overage: $0.125/GB DB, $0.09/GB egress.</t>
  </si>
  <si>
    <t>n8n</t>
  </si>
  <si>
    <t>Hostinger KVM 2 (self-host)</t>
  </si>
  <si>
    <t>USD $8.99</t>
  </si>
  <si>
    <t>Recommended. Unlimited executions. 2 vCPU, 8GB RAM. ~1 day devops setup.</t>
  </si>
  <si>
    <t>n8n (alt)</t>
  </si>
  <si>
    <t>Cloud Pro (current)</t>
  </si>
  <si>
    <t>EUR €50</t>
  </si>
  <si>
    <t>10K executions/month — will cap fast as clients add workflows.</t>
  </si>
  <si>
    <t>ElevenLabs</t>
  </si>
  <si>
    <t>Pro base plan</t>
  </si>
  <si>
    <t>USD $99</t>
  </si>
  <si>
    <t>Required to access Agents add-on. 500K credits/month included.</t>
  </si>
  <si>
    <t>Hobby/Pro</t>
  </si>
  <si>
    <t>AUD $30</t>
  </si>
  <si>
    <t>Web dashboard hosting. Already in use.</t>
  </si>
  <si>
    <t>Retell KBs (after 10)</t>
  </si>
  <si>
    <t>Per KB/mo</t>
  </si>
  <si>
    <t>USD $8</t>
  </si>
  <si>
    <t>Negligible until you exceed 10 clients.</t>
  </si>
  <si>
    <t>OpenAI direct</t>
  </si>
  <si>
    <t>API usage</t>
  </si>
  <si>
    <t>Variable</t>
  </si>
  <si>
    <t>Embeddings + occasional direct API for n8n nodes. Conservative estimate.</t>
  </si>
  <si>
    <t>TOTAL (recommended stack: self-host n8n)</t>
  </si>
  <si>
    <t>TOTAL (if staying on n8n Cloud Pro)</t>
  </si>
  <si>
    <t>Year-1 Projection — Anchor Client Ramp (5 → 10 clients)</t>
  </si>
  <si>
    <t>Conservative ramp: 1 client month 1, +1 per month, plateau at 8. Mix: 50% Starter, 35% Growth, 15% Scale. 70% utilisation assumption. Anchors get 50% off month 1 (case-study trade).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</si>
  <si>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</si>
  <si>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</si>
  <si>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</si>
  <si>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</si>
  <si>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</si>
  <si>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</si>
  <si>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</si>
  <si>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</si>
  <si>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</si>
  <si>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</si>
  <si>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</si>
  <si>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</si>
  <si>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</si>
  <si>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Year 1 Total</t>
  </si>
  <si>
    <t>Active clients</t>
  </si>
  <si>
    <t>MRR (avg AUD per client × clients)</t>
  </si>
  <si>
    <t>Setup fees (new clients × mix avg)</t>
  </si>
  <si>
    <t>Total revenue</t>
  </si>
  <si>
    <t>Variable COGS (70% util)</t>
  </si>
  <si>
    <t>Fixed platform costs</t>
  </si>
  <si>
    <t>Notes &amp; sensitivities</t>
  </si>
  <si>
    <t xml:space="preserve">  • Conservative: assumes 0 overage revenue (real clients will likely exceed included usage on Scale tier).</t>
  </si>
  <si>
    <t xml:space="preserve">  • Weighted MRR per client = AUD $1,374 (50% Starter / 35% Growth / 15% Scale).</t>
  </si>
  <si>
    <t xml:space="preserve">  • Weighted setup fee per client = AUD $3,175 (same mix).</t>
  </si>
  <si>
    <t xml:space="preserve">  • Anchor deal: 50% off month 1 only for case-study trade. Subsequent months at full price.</t>
  </si>
  <si>
    <t xml:space="preserve">  • If you switch to free trial instead, deduct ~AUD $300-$500 in variable COGS exposure per trial month.</t>
  </si>
  <si>
    <t xml:space="preserve">  • Fixed costs assume self-host n8n on Hostinger; add ~AUD $70/mo if staying on n8n Cloud Pro.</t>
  </si>
  <si>
    <t xml:space="preserve">  • Headcount cost NOT included (founder + dev + support). This is gross profit before salaries.</t>
  </si>
  <si>
    <t>Risk Register — cost &amp; operational risks</t>
  </si>
  <si>
    <t>Six known PAYG / scaling risks the founder should weigh before launch.</t>
  </si>
  <si>
    <t>Risk</t>
  </si>
  <si>
    <t>Description</t>
  </si>
  <si>
    <t>Severity</t>
  </si>
  <si>
    <t>Mitigation</t>
  </si>
  <si>
    <t>Concurrency cliff</t>
  </si>
  <si>
    <t>Retell includes 20 concurrent calls. Above that = USD $8 per concurrent slot per month.</t>
  </si>
  <si>
    <t>High</t>
  </si>
  <si>
    <t>Alert at 15 concurrent. Charge Enterprise tier a surcharge if &gt;20 needed.</t>
  </si>
  <si>
    <t>ElevenLabs base plan floor cost</t>
  </si>
  <si>
    <t>USD $99/mo Pro plan is required to unlock Agents add-on. Spread thin across &lt;5 clients.</t>
  </si>
  <si>
    <t>Medium</t>
  </si>
  <si>
    <t>Build into Starter pricing OR absorb as marketing cost during ramp.</t>
  </si>
  <si>
    <t>n8n execution limits (Cloud Pro)</t>
  </si>
  <si>
    <t>10K executions/mo cap. Each call/chat triggers multiple workflows. One Growth client can use 1K+ execs.</t>
  </si>
  <si>
    <t>MIGRATE to self-host on Hostinger before client #3. Unlimited executions for $14/mo AUD.</t>
  </si>
  <si>
    <t>Peak-hour PAYG explosion</t>
  </si>
  <si>
    <t>Marketing campaign tripling volume in 48hrs = uncapped voice/chat cost burn.</t>
  </si>
  <si>
    <t>App-layer soft-cap: Supabase counter + Retell webhook. Alert client at 90% of included minutes.</t>
  </si>
  <si>
    <t>Custom ElevenLabs voice upgrade</t>
  </si>
  <si>
    <t>Per-client branded voice clone = Pro/Enterprise ElevenLabs feature.</t>
  </si>
  <si>
    <t>Low</t>
  </si>
  <si>
    <t>Charge AUD $500–$1,500 one-time per cloned voice as Enterprise add-on.</t>
  </si>
  <si>
    <t>Outbound mobile call cost (3× local)</t>
  </si>
  <si>
    <t>Twilio AU outbound mobile = $0.075/min vs local $0.0252. Outbound campaigns burn margin fast.</t>
  </si>
  <si>
    <t>Separate 'Outbound Campaign' SKU. Higher per-min overage rate for outbound-heavy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</si>
</sst>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\$#,##0.0000"/>
    <numFmt numFmtId="166" formatCode="\$#,##0.00"/>
    <numFmt numFmtId="167" formatCode="0.0"/>
    <numFmt numFmtId="168" formatCode="0.00&quot;x&quot;"/>
    <numFmt numFmtId="169" formatCode="\$#,##0"/>
    <numFmt numFmtId="170" formatCode="0.0%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1F3A5F"/>
      <name val="Calibri"/>
    </font>
    <font>
      <sz val="11"/>
      <name val="Calibri"/>
    </font>
    <font>
      <b/>
      <sz val="11"/>
      <color rgb="FF1F3A5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D7377"/>
      <name val="Calibri"/>
    </font>
    <font>
      <i/>
      <sz val="11"/>
      <name val="Calibri"/>
    </font>
    <font>
      <b/>
      <sz val="12"/>
      <color rgb="FFFFFFFF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0D7377"/>
      </patternFill>
    </fill>
    <fill>
      <patternFill patternType="solid">
        <fgColor rgb="FFFFF8DC"/>
      </patternFill>
    </fill>
    <fill>
      <patternFill patternType="solid">
        <fgColor rgb="FFF5F7FA"/>
      </patternFill>
    </fill>
    <fill>
      <patternFill patternType="solid">
        <fgColor rgb="FFD6F5DD"/>
      </patternFill>
    </fill>
    <fill>
      <patternFill patternType="solid">
        <fgColor rgb="FFFFE9B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164" fontId="7" fillId="4" borderId="1" xfId="0" applyNumberFormat="1" applyFont="1" applyFill="1" applyBorder="1" applyAlignment="1">
      <alignment horizontal="right" vertical="center" indent="1"/>
    </xf>
    <xf numFmtId="0" fontId="8" fillId="0" borderId="1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left" vertical="center" wrapText="1" indent="1"/>
    </xf>
    <xf numFmtId="165" fontId="7" fillId="4" borderId="1" xfId="0" applyNumberFormat="1" applyFont="1" applyFill="1" applyBorder="1" applyAlignment="1">
      <alignment horizontal="right" vertical="center" indent="1"/>
    </xf>
    <xf numFmtId="166" fontId="7" fillId="4" borderId="1" xfId="0" applyNumberFormat="1" applyFont="1" applyFill="1" applyBorder="1" applyAlignment="1">
      <alignment horizontal="right" vertical="center" indent="1"/>
    </xf>
    <xf numFmtId="167" fontId="7" fillId="4" borderId="1" xfId="0" applyNumberFormat="1" applyFont="1" applyFill="1" applyBorder="1" applyAlignment="1">
      <alignment horizontal="right" vertical="center" indent="1"/>
    </xf>
    <xf numFmtId="9" fontId="7" fillId="4" borderId="1" xfId="0" applyNumberFormat="1" applyFont="1" applyFill="1" applyBorder="1" applyAlignment="1">
      <alignment horizontal="right" vertical="center" indent="1"/>
    </xf>
    <xf numFmtId="1" fontId="7" fillId="4" borderId="1" xfId="0" applyNumberFormat="1" applyFont="1" applyFill="1" applyBorder="1" applyAlignment="1">
      <alignment horizontal="right" vertical="center" indent="1"/>
    </xf>
    <xf numFmtId="0" fontId="8" fillId="0" borderId="1" xfId="0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165" fontId="6" fillId="6" borderId="1" xfId="0" applyNumberFormat="1" applyFont="1" applyFill="1" applyBorder="1" applyAlignment="1">
      <alignment horizontal="right" vertical="center" indent="1"/>
    </xf>
    <xf numFmtId="166" fontId="6" fillId="6" borderId="1" xfId="0" applyNumberFormat="1" applyFont="1" applyFill="1" applyBorder="1" applyAlignment="1">
      <alignment horizontal="right" vertical="center" indent="1"/>
    </xf>
    <xf numFmtId="168" fontId="3" fillId="0" borderId="1" xfId="0" applyNumberFormat="1" applyFont="1" applyBorder="1" applyAlignment="1">
      <alignment horizontal="right" vertical="center" indent="1"/>
    </xf>
    <xf numFmtId="9" fontId="3" fillId="0" borderId="1" xfId="0" applyNumberFormat="1" applyFont="1" applyBorder="1" applyAlignment="1">
      <alignment horizontal="right" vertical="center" indent="1"/>
    </xf>
    <xf numFmtId="169" fontId="6" fillId="0" borderId="1" xfId="0" applyNumberFormat="1" applyFont="1" applyBorder="1" applyAlignment="1">
      <alignment horizontal="right" vertical="center" indent="1"/>
    </xf>
    <xf numFmtId="3" fontId="3" fillId="0" borderId="1" xfId="0" applyNumberFormat="1" applyFont="1" applyBorder="1" applyAlignment="1">
      <alignment horizontal="right" vertical="center" indent="1"/>
    </xf>
    <xf numFmtId="166" fontId="3" fillId="0" borderId="1" xfId="0" applyNumberFormat="1" applyFont="1" applyBorder="1" applyAlignment="1">
      <alignment horizontal="right" vertical="center" indent="1"/>
    </xf>
    <xf numFmtId="1" fontId="3" fillId="0" borderId="1" xfId="0" applyNumberFormat="1" applyFont="1" applyBorder="1" applyAlignment="1">
      <alignment horizontal="right" vertical="center" indent="1"/>
    </xf>
    <xf numFmtId="169" fontId="3" fillId="0" borderId="1" xfId="0" applyNumberFormat="1" applyFont="1" applyBorder="1" applyAlignment="1">
      <alignment horizontal="right" vertical="center" indent="1"/>
    </xf>
    <xf numFmtId="170" fontId="6" fillId="0" borderId="1" xfId="0" applyNumberFormat="1" applyFont="1" applyBorder="1" applyAlignment="1">
      <alignment horizontal="right" vertical="center" indent="1"/>
    </xf>
    <xf numFmtId="49" fontId="7" fillId="4" borderId="1" xfId="0" applyNumberFormat="1" applyFont="1" applyFill="1" applyBorder="1" applyAlignment="1">
      <alignment horizontal="right" vertical="center" indent="1"/>
    </xf>
    <xf numFmtId="3" fontId="7" fillId="4" borderId="1" xfId="0" applyNumberFormat="1" applyFont="1" applyFill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166" fontId="6" fillId="0" borderId="1" xfId="0" applyNumberFormat="1" applyFont="1" applyBorder="1" applyAlignment="1">
      <alignment horizontal="right" vertical="center" indent="1"/>
    </xf>
    <xf numFmtId="166" fontId="6" fillId="7" borderId="1" xfId="0" applyNumberFormat="1" applyFont="1" applyFill="1" applyBorder="1" applyAlignment="1">
      <alignment horizontal="right" vertical="center" indent="1"/>
    </xf>
    <xf numFmtId="167" fontId="6" fillId="0" borderId="1" xfId="0" applyNumberFormat="1" applyFont="1" applyBorder="1" applyAlignment="1">
      <alignment horizontal="right" vertical="center" indent="1"/>
    </xf>
    <xf numFmtId="169" fontId="6" fillId="6" borderId="1" xfId="0" applyNumberFormat="1" applyFont="1" applyFill="1" applyBorder="1" applyAlignment="1">
      <alignment horizontal="right" vertical="center" indent="1"/>
    </xf>
    <xf numFmtId="9" fontId="6" fillId="0" borderId="1" xfId="0" applyNumberFormat="1" applyFont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 wrapText="1" indent="1"/>
    </xf>
    <xf numFmtId="0" fontId="3" fillId="0" borderId="0" xfId="0" applyFont="1" applyAlignment="1">
      <alignment vertical="center" indent="1"/>
    </xf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indent="1"/>
    </xf>
    <xf numFmtId="0" fontId="1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11" fillId="0" borderId="1" xfId="0" applyFont="1" applyBorder="1" applyAlignment="1">
      <alignment horizontal="center" vertical="center" wrapText="1" indent="1"/>
    </xf>
    <xf numFmtId="0" fontId="10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12">
    <dxf>
      <fill>
        <patternFill patternType="solid">
          <fgColor rgb="FFD6F5DD"/>
        </patternFill>
      </fill>
    </dxf>
    <dxf>
      <fill>
        <patternFill patternType="solid">
          <fgColor rgb="FFFFE9B8"/>
        </patternFill>
      </fill>
    </dxf>
    <dxf>
      <fill>
        <patternFill patternType="solid">
          <fgColor rgb="FFFBD5D5"/>
        </patternFill>
      </fill>
    </dxf>
    <dxf>
      <fill>
        <patternFill patternType="solid">
          <fgColor rgb="FFFBD5D5"/>
        </patternFill>
      </fill>
    </dxf>
    <dxf>
      <fill>
        <patternFill patternType="solid">
          <fgColor rgb="FFFFE9B8"/>
        </patternFill>
      </fill>
    </dxf>
    <dxf>
      <fill>
        <patternFill patternType="solid">
          <fgColor rgb="FFD6F5DD"/>
        </patternFill>
      </fill>
    </dxf>
    <dxf>
      <fill>
        <patternFill patternType="solid">
          <fgColor rgb="FFFBD5D5"/>
        </patternFill>
      </fill>
    </dxf>
    <dxf>
      <fill>
        <patternFill patternType="solid">
          <fgColor rgb="FFFFE9B8"/>
        </patternFill>
      </fill>
    </dxf>
    <dxf>
      <fill>
        <patternFill patternType="solid">
          <fgColor rgb="FFD6F5DD"/>
        </patternFill>
      </fill>
    </dxf>
    <dxf>
      <fill>
        <patternFill patternType="solid">
          <fgColor rgb="FFFBD5D5"/>
        </patternFill>
      </fill>
    </dxf>
    <dxf>
      <fill>
        <patternFill patternType="solid">
          <fgColor rgb="FFFFE9B8"/>
        </patternFill>
      </fill>
    </dxf>
    <dxf>
      <fill>
        <patternFill patternType="solid">
          <fgColor rgb="FFD6F5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workbookViewId="0">
      <selection activeCell="A27" sqref="A27:F27"/>
    </sheetView>
  </sheetViews>
  <sheetFormatPr baseColWidth="10" defaultColWidth="8.83203125" defaultRowHeight="15" x14ac:dyDescent="0.2"/>
  <cols>
    <col min="1" max="6" width="18" customWidth="1"/>
  </cols>
  <sheetData>
    <row r="1" spans="1:6" ht="30" customHeight="1" x14ac:dyDescent="0.2">
      <c r="A1" s="38" t="s">
        <v>0</v>
      </c>
      <c r="B1" s="35"/>
      <c r="C1" s="35"/>
      <c r="D1" s="35"/>
      <c r="E1" s="35"/>
      <c r="F1" s="35"/>
    </row>
    <row r="2" spans="1:6" ht="30" customHeight="1" x14ac:dyDescent="0.2">
      <c r="A2" s="35"/>
      <c r="B2" s="35"/>
      <c r="C2" s="35"/>
      <c r="D2" s="35"/>
      <c r="E2" s="35"/>
      <c r="F2" s="35"/>
    </row>
    <row r="3" spans="1:6" x14ac:dyDescent="0.2">
      <c r="A3" s="36" t="s">
        <v>1</v>
      </c>
      <c r="B3" s="35"/>
      <c r="C3" s="35"/>
      <c r="D3" s="35"/>
      <c r="E3" s="35"/>
      <c r="F3" s="35"/>
    </row>
    <row r="4" spans="1:6" x14ac:dyDescent="0.2">
      <c r="A4" s="34"/>
      <c r="B4" s="35"/>
      <c r="C4" s="35"/>
      <c r="D4" s="35"/>
      <c r="E4" s="35"/>
      <c r="F4" s="35"/>
    </row>
    <row r="5" spans="1:6" x14ac:dyDescent="0.2">
      <c r="A5" s="37" t="s">
        <v>2</v>
      </c>
      <c r="B5" s="35"/>
      <c r="C5" s="35"/>
      <c r="D5" s="35"/>
      <c r="E5" s="35"/>
      <c r="F5" s="35"/>
    </row>
    <row r="6" spans="1:6" x14ac:dyDescent="0.2">
      <c r="A6" s="34"/>
      <c r="B6" s="35"/>
      <c r="C6" s="35"/>
      <c r="D6" s="35"/>
      <c r="E6" s="35"/>
      <c r="F6" s="35"/>
    </row>
    <row r="7" spans="1:6" x14ac:dyDescent="0.2">
      <c r="A7" s="37" t="s">
        <v>3</v>
      </c>
      <c r="B7" s="35"/>
      <c r="C7" s="35"/>
      <c r="D7" s="35"/>
      <c r="E7" s="35"/>
      <c r="F7" s="35"/>
    </row>
    <row r="8" spans="1:6" x14ac:dyDescent="0.2">
      <c r="A8" s="34" t="s">
        <v>4</v>
      </c>
      <c r="B8" s="35"/>
      <c r="C8" s="35"/>
      <c r="D8" s="35"/>
      <c r="E8" s="35"/>
      <c r="F8" s="35"/>
    </row>
    <row r="9" spans="1:6" x14ac:dyDescent="0.2">
      <c r="A9" s="34" t="s">
        <v>5</v>
      </c>
      <c r="B9" s="35"/>
      <c r="C9" s="35"/>
      <c r="D9" s="35"/>
      <c r="E9" s="35"/>
      <c r="F9" s="35"/>
    </row>
    <row r="10" spans="1:6" x14ac:dyDescent="0.2">
      <c r="A10" s="34" t="s">
        <v>6</v>
      </c>
      <c r="B10" s="35"/>
      <c r="C10" s="35"/>
      <c r="D10" s="35"/>
      <c r="E10" s="35"/>
      <c r="F10" s="35"/>
    </row>
    <row r="11" spans="1:6" x14ac:dyDescent="0.2">
      <c r="A11" s="34" t="s">
        <v>7</v>
      </c>
      <c r="B11" s="35"/>
      <c r="C11" s="35"/>
      <c r="D11" s="35"/>
      <c r="E11" s="35"/>
      <c r="F11" s="35"/>
    </row>
    <row r="12" spans="1:6" x14ac:dyDescent="0.2">
      <c r="A12" s="34"/>
      <c r="B12" s="35"/>
      <c r="C12" s="35"/>
      <c r="D12" s="35"/>
      <c r="E12" s="35"/>
      <c r="F12" s="35"/>
    </row>
    <row r="13" spans="1:6" x14ac:dyDescent="0.2">
      <c r="A13" s="37" t="s">
        <v>8</v>
      </c>
      <c r="B13" s="35"/>
      <c r="C13" s="35"/>
      <c r="D13" s="35"/>
      <c r="E13" s="35"/>
      <c r="F13" s="35"/>
    </row>
    <row r="14" spans="1:6" x14ac:dyDescent="0.2">
      <c r="A14" s="34" t="s">
        <v>9</v>
      </c>
      <c r="B14" s="35"/>
      <c r="C14" s="35"/>
      <c r="D14" s="35"/>
      <c r="E14" s="35"/>
      <c r="F14" s="35"/>
    </row>
    <row r="15" spans="1:6" x14ac:dyDescent="0.2">
      <c r="A15" s="34" t="s">
        <v>10</v>
      </c>
      <c r="B15" s="35"/>
      <c r="C15" s="35"/>
      <c r="D15" s="35"/>
      <c r="E15" s="35"/>
      <c r="F15" s="35"/>
    </row>
    <row r="16" spans="1:6" x14ac:dyDescent="0.2">
      <c r="A16" s="34" t="s">
        <v>11</v>
      </c>
      <c r="B16" s="35"/>
      <c r="C16" s="35"/>
      <c r="D16" s="35"/>
      <c r="E16" s="35"/>
      <c r="F16" s="35"/>
    </row>
    <row r="17" spans="1:6" x14ac:dyDescent="0.2">
      <c r="A17" s="34" t="s">
        <v>12</v>
      </c>
      <c r="B17" s="35"/>
      <c r="C17" s="35"/>
      <c r="D17" s="35"/>
      <c r="E17" s="35"/>
      <c r="F17" s="35"/>
    </row>
    <row r="18" spans="1:6" x14ac:dyDescent="0.2">
      <c r="A18" s="34" t="s">
        <v>13</v>
      </c>
      <c r="B18" s="35"/>
      <c r="C18" s="35"/>
      <c r="D18" s="35"/>
      <c r="E18" s="35"/>
      <c r="F18" s="35"/>
    </row>
    <row r="19" spans="1:6" x14ac:dyDescent="0.2">
      <c r="A19" s="34"/>
      <c r="B19" s="35"/>
      <c r="C19" s="35"/>
      <c r="D19" s="35"/>
      <c r="E19" s="35"/>
      <c r="F19" s="35"/>
    </row>
    <row r="20" spans="1:6" x14ac:dyDescent="0.2">
      <c r="A20" s="37" t="s">
        <v>14</v>
      </c>
      <c r="B20" s="35"/>
      <c r="C20" s="35"/>
      <c r="D20" s="35"/>
      <c r="E20" s="35"/>
      <c r="F20" s="35"/>
    </row>
    <row r="21" spans="1:6" x14ac:dyDescent="0.2">
      <c r="A21" s="34" t="s">
        <v>15</v>
      </c>
      <c r="B21" s="35"/>
      <c r="C21" s="35"/>
      <c r="D21" s="35"/>
      <c r="E21" s="35"/>
      <c r="F21" s="35"/>
    </row>
    <row r="22" spans="1:6" x14ac:dyDescent="0.2">
      <c r="A22" s="34" t="s">
        <v>16</v>
      </c>
      <c r="B22" s="35"/>
      <c r="C22" s="35"/>
      <c r="D22" s="35"/>
      <c r="E22" s="35"/>
      <c r="F22" s="35"/>
    </row>
    <row r="23" spans="1:6" x14ac:dyDescent="0.2">
      <c r="A23" s="34" t="s">
        <v>17</v>
      </c>
      <c r="B23" s="35"/>
      <c r="C23" s="35"/>
      <c r="D23" s="35"/>
      <c r="E23" s="35"/>
      <c r="F23" s="35"/>
    </row>
    <row r="24" spans="1:6" x14ac:dyDescent="0.2">
      <c r="A24" s="34" t="s">
        <v>18</v>
      </c>
      <c r="B24" s="35"/>
      <c r="C24" s="35"/>
      <c r="D24" s="35"/>
      <c r="E24" s="35"/>
      <c r="F24" s="35"/>
    </row>
    <row r="25" spans="1:6" x14ac:dyDescent="0.2">
      <c r="A25" s="34" t="s">
        <v>19</v>
      </c>
      <c r="B25" s="35"/>
      <c r="C25" s="35"/>
      <c r="D25" s="35"/>
      <c r="E25" s="35"/>
      <c r="F25" s="35"/>
    </row>
    <row r="26" spans="1:6" x14ac:dyDescent="0.2">
      <c r="A26" s="34" t="s">
        <v>20</v>
      </c>
      <c r="B26" s="35"/>
      <c r="C26" s="35"/>
      <c r="D26" s="35"/>
      <c r="E26" s="35"/>
      <c r="F26" s="35"/>
    </row>
    <row r="27" spans="1:6" x14ac:dyDescent="0.2">
      <c r="A27" s="34" t="s">
        <v>21</v>
      </c>
      <c r="B27" s="35"/>
      <c r="C27" s="35"/>
      <c r="D27" s="35"/>
      <c r="E27" s="35"/>
      <c r="F27" s="35"/>
    </row>
  </sheetData>
  <mergeCells count="26">
    <mergeCell ref="A1:F2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6:F6"/>
    <mergeCell ref="A7:F7"/>
    <mergeCell ref="A16:F16"/>
    <mergeCell ref="A27:F27"/>
    <mergeCell ref="A12:F12"/>
    <mergeCell ref="A18:F18"/>
    <mergeCell ref="A3:F3"/>
    <mergeCell ref="A21:F21"/>
    <mergeCell ref="A26:F26"/>
    <mergeCell ref="A14:F14"/>
    <mergeCell ref="A5:F5"/>
    <mergeCell ref="A23:F23"/>
    <mergeCell ref="A24:F2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4" topLeftCell="A5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25.5" customWidth="1"/>
    <col min="4" max="4" width="60" customWidth="1"/>
  </cols>
  <sheetData>
    <row r="1" spans="1:4" ht="30" customHeight="1" x14ac:dyDescent="0.2">
      <c r="A1" s="38" t="s">
        <v>22</v>
      </c>
      <c r="B1" s="35"/>
      <c r="C1" s="35"/>
      <c r="D1" s="35"/>
    </row>
    <row r="2" spans="1:4" x14ac:dyDescent="0.2">
      <c r="A2" s="36" t="s">
        <v>23</v>
      </c>
      <c r="B2" s="35"/>
      <c r="C2" s="35"/>
      <c r="D2" s="35"/>
    </row>
    <row r="4" spans="1:4" ht="22" customHeight="1" x14ac:dyDescent="0.2">
      <c r="A4" s="1" t="s">
        <v>24</v>
      </c>
      <c r="B4" s="1" t="s">
        <v>25</v>
      </c>
      <c r="C4" s="1" t="s">
        <v>26</v>
      </c>
      <c r="D4" s="1" t="s">
        <v>27</v>
      </c>
    </row>
    <row r="5" spans="1:4" ht="30" customHeight="1" x14ac:dyDescent="0.2">
      <c r="A5" s="2" t="s">
        <v>28</v>
      </c>
      <c r="B5" s="3">
        <v>1.55</v>
      </c>
      <c r="C5" s="4" t="s">
        <v>29</v>
      </c>
      <c r="D5" s="5" t="s">
        <v>30</v>
      </c>
    </row>
    <row r="6" spans="1:4" ht="30" customHeight="1" x14ac:dyDescent="0.2">
      <c r="A6" s="2" t="s">
        <v>31</v>
      </c>
      <c r="B6" s="3">
        <v>1.65</v>
      </c>
      <c r="C6" s="4" t="s">
        <v>29</v>
      </c>
      <c r="D6" s="5" t="s">
        <v>32</v>
      </c>
    </row>
    <row r="7" spans="1:4" ht="30" customHeight="1" x14ac:dyDescent="0.2">
      <c r="A7" s="2" t="s">
        <v>33</v>
      </c>
      <c r="B7" s="6">
        <v>0.2</v>
      </c>
      <c r="C7" s="40" t="s">
        <v>34</v>
      </c>
      <c r="D7" s="5" t="s">
        <v>35</v>
      </c>
    </row>
    <row r="8" spans="1:4" ht="30" customHeight="1" x14ac:dyDescent="0.2">
      <c r="A8" s="2" t="s">
        <v>36</v>
      </c>
      <c r="B8" s="6">
        <v>0.08</v>
      </c>
      <c r="C8" s="4" t="s">
        <v>34</v>
      </c>
      <c r="D8" s="5" t="s">
        <v>37</v>
      </c>
    </row>
    <row r="9" spans="1:4" ht="30" customHeight="1" x14ac:dyDescent="0.2">
      <c r="A9" s="2" t="s">
        <v>38</v>
      </c>
      <c r="B9" s="6">
        <v>0.01</v>
      </c>
      <c r="C9" s="4" t="s">
        <v>34</v>
      </c>
      <c r="D9" s="5" t="s">
        <v>39</v>
      </c>
    </row>
    <row r="10" spans="1:4" ht="30" customHeight="1" x14ac:dyDescent="0.2">
      <c r="A10" s="2" t="s">
        <v>40</v>
      </c>
      <c r="B10" s="6">
        <v>2.52E-2</v>
      </c>
      <c r="C10" s="4" t="s">
        <v>34</v>
      </c>
      <c r="D10" s="5" t="s">
        <v>41</v>
      </c>
    </row>
    <row r="11" spans="1:4" ht="30" customHeight="1" x14ac:dyDescent="0.2">
      <c r="A11" s="2" t="s">
        <v>42</v>
      </c>
      <c r="B11" s="7">
        <v>3</v>
      </c>
      <c r="C11" s="4" t="s">
        <v>43</v>
      </c>
      <c r="D11" s="5" t="s">
        <v>44</v>
      </c>
    </row>
    <row r="12" spans="1:4" ht="30" customHeight="1" x14ac:dyDescent="0.2">
      <c r="A12" s="2" t="s">
        <v>45</v>
      </c>
      <c r="B12" s="8">
        <v>5</v>
      </c>
      <c r="C12" s="4" t="s">
        <v>46</v>
      </c>
      <c r="D12" s="5" t="s">
        <v>47</v>
      </c>
    </row>
    <row r="13" spans="1:4" ht="30" customHeight="1" x14ac:dyDescent="0.2">
      <c r="A13" s="2" t="s">
        <v>48</v>
      </c>
      <c r="B13" s="8">
        <v>5</v>
      </c>
      <c r="C13" s="4" t="s">
        <v>46</v>
      </c>
      <c r="D13" s="5" t="s">
        <v>49</v>
      </c>
    </row>
    <row r="14" spans="1:4" ht="30" customHeight="1" x14ac:dyDescent="0.2">
      <c r="A14" s="2" t="s">
        <v>50</v>
      </c>
      <c r="B14" s="9">
        <v>0.85</v>
      </c>
      <c r="C14" s="4" t="s">
        <v>51</v>
      </c>
      <c r="D14" s="5" t="s">
        <v>52</v>
      </c>
    </row>
    <row r="15" spans="1:4" ht="30" customHeight="1" x14ac:dyDescent="0.2">
      <c r="A15" s="2" t="s">
        <v>53</v>
      </c>
      <c r="B15" s="7">
        <v>25</v>
      </c>
      <c r="C15" s="4" t="s">
        <v>43</v>
      </c>
      <c r="D15" s="5" t="s">
        <v>54</v>
      </c>
    </row>
    <row r="16" spans="1:4" ht="30" customHeight="1" x14ac:dyDescent="0.2">
      <c r="A16" s="2" t="s">
        <v>55</v>
      </c>
      <c r="B16" s="7">
        <v>8.99</v>
      </c>
      <c r="C16" s="4" t="s">
        <v>43</v>
      </c>
      <c r="D16" s="5" t="s">
        <v>56</v>
      </c>
    </row>
    <row r="17" spans="1:4" ht="30" customHeight="1" x14ac:dyDescent="0.2">
      <c r="A17" s="2" t="s">
        <v>57</v>
      </c>
      <c r="B17" s="7">
        <v>99</v>
      </c>
      <c r="C17" s="4" t="s">
        <v>43</v>
      </c>
      <c r="D17" s="5" t="s">
        <v>58</v>
      </c>
    </row>
    <row r="18" spans="1:4" ht="30" customHeight="1" x14ac:dyDescent="0.2">
      <c r="A18" s="2" t="s">
        <v>59</v>
      </c>
      <c r="B18" s="7">
        <v>30</v>
      </c>
      <c r="C18" s="4" t="s">
        <v>43</v>
      </c>
      <c r="D18" s="5" t="s">
        <v>60</v>
      </c>
    </row>
    <row r="19" spans="1:4" ht="30" customHeight="1" x14ac:dyDescent="0.2">
      <c r="A19" s="2" t="s">
        <v>61</v>
      </c>
      <c r="B19" s="7">
        <v>8</v>
      </c>
      <c r="C19" s="4" t="s">
        <v>43</v>
      </c>
      <c r="D19" s="5" t="s">
        <v>62</v>
      </c>
    </row>
    <row r="20" spans="1:4" ht="30" customHeight="1" x14ac:dyDescent="0.2">
      <c r="A20" s="2" t="s">
        <v>63</v>
      </c>
      <c r="B20" s="9">
        <v>0.6</v>
      </c>
      <c r="C20" s="4" t="s">
        <v>51</v>
      </c>
      <c r="D20" s="5" t="s">
        <v>64</v>
      </c>
    </row>
    <row r="21" spans="1:4" ht="30" customHeight="1" x14ac:dyDescent="0.2">
      <c r="A21" s="2" t="s">
        <v>65</v>
      </c>
      <c r="B21" s="10">
        <v>8</v>
      </c>
      <c r="C21" s="4" t="s">
        <v>66</v>
      </c>
      <c r="D21" s="5" t="s">
        <v>67</v>
      </c>
    </row>
    <row r="22" spans="1:4" ht="30" customHeight="1" x14ac:dyDescent="0.2">
      <c r="A22" s="2" t="s">
        <v>68</v>
      </c>
      <c r="B22" s="10">
        <v>10</v>
      </c>
      <c r="C22" s="4" t="s">
        <v>66</v>
      </c>
      <c r="D22" s="5" t="s">
        <v>69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9"/>
  <sheetViews>
    <sheetView showGridLines="0" workbookViewId="0">
      <pane ySplit="3" topLeftCell="A4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38" customWidth="1"/>
    <col min="2" max="3" width="16" customWidth="1"/>
    <col min="4" max="5" width="18" customWidth="1"/>
  </cols>
  <sheetData>
    <row r="1" spans="1:5" ht="30" customHeight="1" x14ac:dyDescent="0.2">
      <c r="A1" s="38" t="s">
        <v>70</v>
      </c>
      <c r="B1" s="35"/>
      <c r="C1" s="35"/>
      <c r="D1" s="35"/>
      <c r="E1" s="35"/>
    </row>
    <row r="2" spans="1:5" x14ac:dyDescent="0.2">
      <c r="A2" s="36" t="s">
        <v>71</v>
      </c>
      <c r="B2" s="35"/>
      <c r="C2" s="35"/>
      <c r="D2" s="35"/>
      <c r="E2" s="35"/>
    </row>
    <row r="4" spans="1:5" ht="22" customHeight="1" x14ac:dyDescent="0.2">
      <c r="A4" s="39" t="s">
        <v>72</v>
      </c>
      <c r="B4" s="35"/>
      <c r="C4" s="35"/>
      <c r="D4" s="35"/>
      <c r="E4" s="35"/>
    </row>
    <row r="5" spans="1:5" ht="22" customHeight="1" x14ac:dyDescent="0.2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</row>
    <row r="6" spans="1:5" ht="16" x14ac:dyDescent="0.2">
      <c r="A6" s="5" t="s">
        <v>78</v>
      </c>
      <c r="B6" s="11" t="s">
        <v>79</v>
      </c>
      <c r="C6" s="12">
        <f>Assumptions!$B$7</f>
        <v>0.2</v>
      </c>
      <c r="D6" s="13">
        <f>Assumptions!$B$5</f>
        <v>1.55</v>
      </c>
      <c r="E6" s="12">
        <f>Assumptions!$B$7*Assumptions!$B$5</f>
        <v>0.31000000000000005</v>
      </c>
    </row>
    <row r="7" spans="1:5" ht="16" x14ac:dyDescent="0.2">
      <c r="A7" s="5" t="s">
        <v>80</v>
      </c>
      <c r="B7" s="11" t="s">
        <v>79</v>
      </c>
      <c r="C7" s="12">
        <f>Assumptions!$B$9</f>
        <v>0.01</v>
      </c>
      <c r="D7" s="13">
        <f>Assumptions!$B$14</f>
        <v>0.85</v>
      </c>
      <c r="E7" s="12">
        <f>Assumptions!$B$14*Assumptions!$B$9</f>
        <v>8.5000000000000006E-3</v>
      </c>
    </row>
    <row r="8" spans="1:5" ht="16" x14ac:dyDescent="0.2">
      <c r="A8" s="5" t="s">
        <v>81</v>
      </c>
      <c r="B8" s="11" t="s">
        <v>79</v>
      </c>
      <c r="C8" s="12">
        <f>Assumptions!$B$10</f>
        <v>2.52E-2</v>
      </c>
      <c r="D8" s="13">
        <f>1-Assumptions!$B$14</f>
        <v>0.15000000000000002</v>
      </c>
      <c r="E8" s="12">
        <f>(1-Assumptions!$B$14)*Assumptions!$B$10</f>
        <v>3.7800000000000004E-3</v>
      </c>
    </row>
    <row r="9" spans="1:5" ht="16" x14ac:dyDescent="0.2">
      <c r="A9" s="14" t="s">
        <v>82</v>
      </c>
      <c r="E9" s="15">
        <f>SUM(E6:E8)</f>
        <v>0.32228000000000007</v>
      </c>
    </row>
    <row r="11" spans="1:5" ht="16" x14ac:dyDescent="0.2">
      <c r="A11" s="2" t="str">
        <f>"Per-call cost ("&amp;Assumptions!$B$12&amp;"min avg)"</f>
        <v>Per-call cost (5min avg)</v>
      </c>
      <c r="E11" s="16">
        <f>$E$9*Assumptions!$B$12</f>
        <v>1.6114000000000004</v>
      </c>
    </row>
    <row r="14" spans="1:5" ht="22" customHeight="1" x14ac:dyDescent="0.2">
      <c r="A14" s="39" t="s">
        <v>83</v>
      </c>
      <c r="B14" s="35"/>
      <c r="C14" s="35"/>
      <c r="D14" s="35"/>
      <c r="E14" s="35"/>
    </row>
    <row r="15" spans="1:5" ht="22" customHeight="1" x14ac:dyDescent="0.2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77</v>
      </c>
    </row>
    <row r="16" spans="1:5" ht="16" x14ac:dyDescent="0.2">
      <c r="A16" s="5" t="s">
        <v>84</v>
      </c>
      <c r="B16" s="11" t="s">
        <v>79</v>
      </c>
      <c r="C16" s="12">
        <f>Assumptions!$B$8</f>
        <v>0.08</v>
      </c>
      <c r="D16" s="13">
        <f>Assumptions!$B$5</f>
        <v>1.55</v>
      </c>
      <c r="E16" s="12">
        <f>Assumptions!$B$8*Assumptions!$B$5</f>
        <v>0.12400000000000001</v>
      </c>
    </row>
    <row r="17" spans="1:5" ht="16" x14ac:dyDescent="0.2">
      <c r="A17" s="14" t="s">
        <v>85</v>
      </c>
      <c r="E17" s="15">
        <f>$E$16</f>
        <v>0.12400000000000001</v>
      </c>
    </row>
    <row r="19" spans="1:5" ht="32" x14ac:dyDescent="0.2">
      <c r="A19" s="41" t="str">
        <f>"Per-session cost ("&amp;Assumptions!$B$13&amp;"min avg)"</f>
        <v>Per-session cost (5min avg)</v>
      </c>
      <c r="E19" s="16">
        <f>$E$16*Assumptions!$B$13</f>
        <v>0.62000000000000011</v>
      </c>
    </row>
    <row r="22" spans="1:5" ht="22" customHeight="1" x14ac:dyDescent="0.2">
      <c r="A22" s="39" t="s">
        <v>86</v>
      </c>
      <c r="B22" s="35"/>
      <c r="C22" s="35"/>
      <c r="D22" s="35"/>
      <c r="E22" s="35"/>
    </row>
    <row r="23" spans="1:5" ht="22" customHeight="1" x14ac:dyDescent="0.2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</row>
    <row r="24" spans="1:5" ht="22" customHeight="1" x14ac:dyDescent="0.2">
      <c r="A24" s="5" t="s">
        <v>92</v>
      </c>
      <c r="B24" s="12">
        <f>$E$9</f>
        <v>0.32228000000000007</v>
      </c>
      <c r="C24" s="7">
        <v>1.2</v>
      </c>
      <c r="D24" s="17">
        <f>C24/B24</f>
        <v>3.7234702742956425</v>
      </c>
      <c r="E24" s="18">
        <f t="shared" ref="E24:E29" si="0">(C24-B24)/B24</f>
        <v>2.7234702742956425</v>
      </c>
    </row>
    <row r="25" spans="1:5" ht="22" customHeight="1" x14ac:dyDescent="0.2">
      <c r="A25" s="5" t="s">
        <v>93</v>
      </c>
      <c r="B25" s="12">
        <f>$E$9</f>
        <v>0.32228000000000007</v>
      </c>
      <c r="C25" s="7">
        <v>1</v>
      </c>
      <c r="D25" s="17">
        <f t="shared" ref="D24:D29" si="1">C25/B25</f>
        <v>3.1028918952463691</v>
      </c>
      <c r="E25" s="18">
        <f t="shared" si="0"/>
        <v>2.1028918952463687</v>
      </c>
    </row>
    <row r="26" spans="1:5" ht="22" customHeight="1" x14ac:dyDescent="0.2">
      <c r="A26" s="5" t="s">
        <v>94</v>
      </c>
      <c r="B26" s="12">
        <f>$E$9</f>
        <v>0.32228000000000007</v>
      </c>
      <c r="C26" s="7">
        <v>0.85</v>
      </c>
      <c r="D26" s="17">
        <f t="shared" si="1"/>
        <v>2.6374581109594137</v>
      </c>
      <c r="E26" s="18">
        <f t="shared" si="0"/>
        <v>1.6374581109594137</v>
      </c>
    </row>
    <row r="27" spans="1:5" ht="22" customHeight="1" x14ac:dyDescent="0.2">
      <c r="A27" s="5" t="s">
        <v>95</v>
      </c>
      <c r="B27" s="12">
        <f>$E$16</f>
        <v>0.12400000000000001</v>
      </c>
      <c r="C27" s="7">
        <v>0.55000000000000004</v>
      </c>
      <c r="D27" s="17">
        <f t="shared" si="1"/>
        <v>4.435483870967742</v>
      </c>
      <c r="E27" s="18">
        <f t="shared" si="0"/>
        <v>3.435483870967742</v>
      </c>
    </row>
    <row r="28" spans="1:5" ht="22" customHeight="1" x14ac:dyDescent="0.2">
      <c r="A28" s="5" t="s">
        <v>96</v>
      </c>
      <c r="B28" s="12">
        <f>$E$16</f>
        <v>0.12400000000000001</v>
      </c>
      <c r="C28" s="7">
        <v>0.45</v>
      </c>
      <c r="D28" s="17">
        <f t="shared" si="1"/>
        <v>3.629032258064516</v>
      </c>
      <c r="E28" s="18">
        <f t="shared" si="0"/>
        <v>2.629032258064516</v>
      </c>
    </row>
    <row r="29" spans="1:5" ht="22" customHeight="1" x14ac:dyDescent="0.2">
      <c r="A29" s="5" t="s">
        <v>97</v>
      </c>
      <c r="B29" s="12">
        <f>$E$16</f>
        <v>0.12400000000000001</v>
      </c>
      <c r="C29" s="7">
        <v>0.4</v>
      </c>
      <c r="D29" s="17">
        <f t="shared" si="1"/>
        <v>3.225806451612903</v>
      </c>
      <c r="E29" s="18">
        <f t="shared" si="0"/>
        <v>2.225806451612903</v>
      </c>
    </row>
  </sheetData>
  <mergeCells count="5">
    <mergeCell ref="A4:E4"/>
    <mergeCell ref="A2:E2"/>
    <mergeCell ref="A1:E1"/>
    <mergeCell ref="A14:E14"/>
    <mergeCell ref="A22:E22"/>
  </mergeCells>
  <conditionalFormatting sqref="D24:D29">
    <cfRule type="cellIs" dxfId="11" priority="1" operator="greaterThanOrEqual">
      <formula>1.5</formula>
    </cfRule>
    <cfRule type="cellIs" dxfId="10" priority="2" operator="between">
      <formula>1.2</formula>
      <formula>1.499</formula>
    </cfRule>
    <cfRule type="cellIs" dxfId="9" priority="3" operator="lessThan">
      <formula>1.2</formula>
    </cfRule>
  </conditionalFormatting>
  <pageMargins left="0.4" right="0.4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3"/>
  <sheetViews>
    <sheetView showGridLines="0" workbookViewId="0">
      <pane ySplit="4" topLeftCell="A5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6" width="16" customWidth="1"/>
    <col min="7" max="7" width="18" customWidth="1"/>
  </cols>
  <sheetData>
    <row r="1" spans="1:7" ht="30" customHeight="1" x14ac:dyDescent="0.2">
      <c r="A1" s="38" t="s">
        <v>98</v>
      </c>
      <c r="B1" s="35"/>
      <c r="C1" s="35"/>
      <c r="D1" s="35"/>
      <c r="E1" s="35"/>
      <c r="F1" s="35"/>
      <c r="G1" s="35"/>
    </row>
    <row r="2" spans="1:7" x14ac:dyDescent="0.2">
      <c r="A2" s="36" t="s">
        <v>99</v>
      </c>
      <c r="B2" s="35"/>
      <c r="C2" s="35"/>
      <c r="D2" s="35"/>
      <c r="E2" s="35"/>
      <c r="F2" s="35"/>
      <c r="G2" s="35"/>
    </row>
    <row r="4" spans="1:7" ht="30" customHeight="1" x14ac:dyDescent="0.2">
      <c r="A4" s="1" t="s">
        <v>100</v>
      </c>
      <c r="B4" s="1" t="s">
        <v>101</v>
      </c>
      <c r="C4" s="1" t="s">
        <v>102</v>
      </c>
      <c r="D4" s="1" t="s">
        <v>103</v>
      </c>
      <c r="E4" s="1" t="s">
        <v>104</v>
      </c>
      <c r="F4" s="1" t="s">
        <v>105</v>
      </c>
      <c r="G4" s="1" t="s">
        <v>106</v>
      </c>
    </row>
    <row r="5" spans="1:7" ht="26" customHeight="1" x14ac:dyDescent="0.2">
      <c r="A5" s="2" t="s">
        <v>107</v>
      </c>
      <c r="B5" s="19">
        <v>499</v>
      </c>
      <c r="C5" s="20">
        <v>200</v>
      </c>
      <c r="D5" s="20">
        <v>500</v>
      </c>
      <c r="E5" s="21">
        <v>1.2</v>
      </c>
      <c r="F5" s="21">
        <v>0.55000000000000004</v>
      </c>
      <c r="G5" s="19">
        <f>C5*((Assumptions!$B$7*Assumptions!$B$5) + (Assumptions!$B$14*Assumptions!$B$9) + ((1-Assumptions!$B$14)*Assumptions!$B$10)) + D5*((Assumptions!$B$8*Assumptions!$B$5))</f>
        <v>126.45600000000002</v>
      </c>
    </row>
    <row r="6" spans="1:7" ht="26" customHeight="1" x14ac:dyDescent="0.2">
      <c r="A6" s="2" t="s">
        <v>108</v>
      </c>
      <c r="B6" s="19">
        <v>1499</v>
      </c>
      <c r="C6" s="20">
        <v>800</v>
      </c>
      <c r="D6" s="20">
        <v>2000</v>
      </c>
      <c r="E6" s="21">
        <v>1</v>
      </c>
      <c r="F6" s="21">
        <v>0.45</v>
      </c>
      <c r="G6" s="19">
        <f>C6*((Assumptions!$B$7*Assumptions!$B$5) + (Assumptions!$B$14*Assumptions!$B$9) + ((1-Assumptions!$B$14)*Assumptions!$B$10)) + D6*((Assumptions!$B$8*Assumptions!$B$5))</f>
        <v>505.82400000000007</v>
      </c>
    </row>
    <row r="7" spans="1:7" ht="26" customHeight="1" x14ac:dyDescent="0.2">
      <c r="A7" s="2" t="s">
        <v>109</v>
      </c>
      <c r="B7" s="19">
        <v>3999</v>
      </c>
      <c r="C7" s="20">
        <v>2500</v>
      </c>
      <c r="D7" s="20">
        <v>6000</v>
      </c>
      <c r="E7" s="21">
        <v>0.85</v>
      </c>
      <c r="F7" s="21">
        <v>0.4</v>
      </c>
      <c r="G7" s="19">
        <f>C7*((Assumptions!$B$7*Assumptions!$B$5) + (Assumptions!$B$14*Assumptions!$B$9) + ((1-Assumptions!$B$14)*Assumptions!$B$10)) + D7*((Assumptions!$B$8*Assumptions!$B$5))</f>
        <v>1549.7000000000003</v>
      </c>
    </row>
    <row r="8" spans="1:7" ht="26" customHeight="1" x14ac:dyDescent="0.2">
      <c r="A8" s="2" t="s">
        <v>110</v>
      </c>
      <c r="B8" s="19">
        <v>7500</v>
      </c>
      <c r="C8" s="20">
        <v>5500</v>
      </c>
      <c r="D8" s="20">
        <v>13000</v>
      </c>
      <c r="E8" s="21">
        <v>0.7</v>
      </c>
      <c r="F8" s="21">
        <v>0.35</v>
      </c>
      <c r="G8" s="19">
        <f>C8*((Assumptions!$B$7*Assumptions!$B$5) + (Assumptions!$B$14*Assumptions!$B$9) + ((1-Assumptions!$B$14)*Assumptions!$B$10)) + D8*((Assumptions!$B$8*Assumptions!$B$5))</f>
        <v>3384.5400000000009</v>
      </c>
    </row>
    <row r="10" spans="1:7" ht="22" customHeight="1" x14ac:dyDescent="0.2">
      <c r="A10" s="39" t="s">
        <v>111</v>
      </c>
      <c r="B10" s="35"/>
      <c r="C10" s="35"/>
      <c r="D10" s="35"/>
      <c r="E10" s="35"/>
      <c r="F10" s="35"/>
      <c r="G10" s="35"/>
    </row>
    <row r="11" spans="1:7" ht="22" customHeight="1" x14ac:dyDescent="0.2">
      <c r="A11" s="1" t="s">
        <v>112</v>
      </c>
      <c r="B11" s="1" t="s">
        <v>113</v>
      </c>
      <c r="C11" s="1" t="s">
        <v>114</v>
      </c>
      <c r="D11" s="1" t="s">
        <v>115</v>
      </c>
      <c r="E11" s="1" t="s">
        <v>116</v>
      </c>
      <c r="F11" s="1" t="s">
        <v>117</v>
      </c>
      <c r="G11" s="1" t="s">
        <v>118</v>
      </c>
    </row>
    <row r="12" spans="1:7" ht="22" customHeight="1" x14ac:dyDescent="0.2">
      <c r="A12" s="5" t="s">
        <v>119</v>
      </c>
      <c r="B12" s="21">
        <f>Assumptions!$B$15</f>
        <v>25</v>
      </c>
      <c r="D12" s="13">
        <f>Assumptions!$B$5</f>
        <v>1.55</v>
      </c>
      <c r="E12" s="21">
        <f>B12*D12</f>
        <v>38.75</v>
      </c>
      <c r="F12" s="22">
        <f>Assumptions!$B$22</f>
        <v>10</v>
      </c>
      <c r="G12" s="21">
        <f>E12/F12</f>
        <v>3.875</v>
      </c>
    </row>
    <row r="13" spans="1:7" ht="22" customHeight="1" x14ac:dyDescent="0.2">
      <c r="A13" s="5" t="s">
        <v>120</v>
      </c>
      <c r="B13" s="21">
        <f>Assumptions!$B$16</f>
        <v>8.99</v>
      </c>
      <c r="D13" s="13">
        <f>Assumptions!$B$5</f>
        <v>1.55</v>
      </c>
      <c r="E13" s="21">
        <f>B13*D13</f>
        <v>13.9345</v>
      </c>
      <c r="F13" s="22">
        <f>Assumptions!$B$22</f>
        <v>10</v>
      </c>
      <c r="G13" s="21">
        <f>E13/F13</f>
        <v>1.3934500000000001</v>
      </c>
    </row>
    <row r="14" spans="1:7" ht="22" customHeight="1" x14ac:dyDescent="0.2">
      <c r="A14" s="5" t="s">
        <v>121</v>
      </c>
      <c r="B14" s="21">
        <f>Assumptions!$B$17</f>
        <v>99</v>
      </c>
      <c r="D14" s="13">
        <f>Assumptions!$B$5</f>
        <v>1.55</v>
      </c>
      <c r="E14" s="21">
        <f>B14*D14</f>
        <v>153.45000000000002</v>
      </c>
      <c r="F14" s="22">
        <f>Assumptions!$B$22</f>
        <v>10</v>
      </c>
      <c r="G14" s="21">
        <f>E14/F14</f>
        <v>15.345000000000002</v>
      </c>
    </row>
    <row r="15" spans="1:7" ht="22" customHeight="1" x14ac:dyDescent="0.2">
      <c r="A15" s="5" t="s">
        <v>122</v>
      </c>
      <c r="E15" s="21">
        <f>Assumptions!$B$18</f>
        <v>30</v>
      </c>
      <c r="F15" s="22">
        <f>Assumptions!$B$22</f>
        <v>10</v>
      </c>
      <c r="G15" s="21">
        <f>E15/F15</f>
        <v>3</v>
      </c>
    </row>
    <row r="16" spans="1:7" ht="32" x14ac:dyDescent="0.2">
      <c r="A16" s="14" t="s">
        <v>123</v>
      </c>
      <c r="G16" s="16">
        <f>SUM(G12:G15)</f>
        <v>23.61345</v>
      </c>
    </row>
    <row r="18" spans="1:7" ht="22" customHeight="1" x14ac:dyDescent="0.2">
      <c r="A18" s="39" t="s">
        <v>124</v>
      </c>
      <c r="B18" s="35"/>
      <c r="C18" s="35"/>
      <c r="D18" s="35"/>
      <c r="E18" s="35"/>
      <c r="F18" s="35"/>
      <c r="G18" s="35"/>
    </row>
    <row r="19" spans="1:7" ht="22" customHeight="1" x14ac:dyDescent="0.2">
      <c r="A19" s="1" t="s">
        <v>100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129</v>
      </c>
      <c r="G19" s="1" t="s">
        <v>130</v>
      </c>
    </row>
    <row r="20" spans="1:7" ht="24" customHeight="1" x14ac:dyDescent="0.2">
      <c r="A20" s="2" t="s">
        <v>107</v>
      </c>
      <c r="B20" s="23">
        <f>B5</f>
        <v>499</v>
      </c>
      <c r="C20" s="23">
        <f>G5</f>
        <v>126.45600000000002</v>
      </c>
      <c r="D20" s="23">
        <f>$G$16</f>
        <v>23.61345</v>
      </c>
      <c r="E20" s="23">
        <f>C20+D20</f>
        <v>150.06945000000002</v>
      </c>
      <c r="F20" s="19">
        <f>B20-E20</f>
        <v>348.93054999999998</v>
      </c>
      <c r="G20" s="24">
        <f>F20/B20</f>
        <v>0.6992596192384769</v>
      </c>
    </row>
    <row r="21" spans="1:7" ht="24" customHeight="1" x14ac:dyDescent="0.2">
      <c r="A21" s="2" t="s">
        <v>108</v>
      </c>
      <c r="B21" s="23">
        <f>B6</f>
        <v>1499</v>
      </c>
      <c r="C21" s="23">
        <f>G6</f>
        <v>505.82400000000007</v>
      </c>
      <c r="D21" s="23">
        <f>$G$16</f>
        <v>23.61345</v>
      </c>
      <c r="E21" s="23">
        <f>C21+D21</f>
        <v>529.43745000000013</v>
      </c>
      <c r="F21" s="19">
        <f>B21-E21</f>
        <v>969.56254999999987</v>
      </c>
      <c r="G21" s="24">
        <f>F21/B21</f>
        <v>0.646806237491661</v>
      </c>
    </row>
    <row r="22" spans="1:7" ht="24" customHeight="1" x14ac:dyDescent="0.2">
      <c r="A22" s="2" t="s">
        <v>109</v>
      </c>
      <c r="B22" s="23">
        <f>B7</f>
        <v>3999</v>
      </c>
      <c r="C22" s="23">
        <f>G7</f>
        <v>1549.7000000000003</v>
      </c>
      <c r="D22" s="23">
        <f>$G$16</f>
        <v>23.61345</v>
      </c>
      <c r="E22" s="23">
        <f>C22+D22</f>
        <v>1573.3134500000003</v>
      </c>
      <c r="F22" s="19">
        <f>B22-E22</f>
        <v>2425.6865499999994</v>
      </c>
      <c r="G22" s="24">
        <f>F22/B22</f>
        <v>0.6065732808202049</v>
      </c>
    </row>
    <row r="23" spans="1:7" ht="24" customHeight="1" x14ac:dyDescent="0.2">
      <c r="A23" s="2" t="s">
        <v>110</v>
      </c>
      <c r="B23" s="23">
        <f>B8</f>
        <v>7500</v>
      </c>
      <c r="C23" s="23">
        <f>G8</f>
        <v>3384.5400000000009</v>
      </c>
      <c r="D23" s="23">
        <f>$G$16</f>
        <v>23.61345</v>
      </c>
      <c r="E23" s="23">
        <f>C23+D23</f>
        <v>3408.1534500000007</v>
      </c>
      <c r="F23" s="19">
        <f>B23-E23</f>
        <v>4091.8465499999993</v>
      </c>
      <c r="G23" s="24">
        <f>F23/B23</f>
        <v>0.54557953999999986</v>
      </c>
    </row>
  </sheetData>
  <mergeCells count="4">
    <mergeCell ref="A2:G2"/>
    <mergeCell ref="A1:G1"/>
    <mergeCell ref="A10:G10"/>
    <mergeCell ref="A18:G18"/>
  </mergeCells>
  <conditionalFormatting sqref="G20:G23">
    <cfRule type="cellIs" dxfId="8" priority="1" operator="greaterThanOrEqual">
      <formula>0.6</formula>
    </cfRule>
    <cfRule type="cellIs" dxfId="7" priority="2" operator="between">
      <formula>0.45</formula>
      <formula>0.5999</formula>
    </cfRule>
    <cfRule type="cellIs" dxfId="6" priority="3" operator="lessThan">
      <formula>0.45</formula>
    </cfRule>
  </conditionalFormatting>
  <pageMargins left="0.4" right="0.4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"/>
  <sheetViews>
    <sheetView showGridLines="0" workbookViewId="0">
      <pane ySplit="4" topLeftCell="A5" activePane="bottomLeft" state="frozen"/>
      <selection pane="bottomLeft" activeCell="M15" sqref="M15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4" width="12" customWidth="1"/>
    <col min="5" max="6" width="14" customWidth="1"/>
    <col min="7" max="7" width="22" customWidth="1"/>
    <col min="8" max="9" width="16" customWidth="1"/>
  </cols>
  <sheetData>
    <row r="1" spans="1:9" ht="30" customHeight="1" x14ac:dyDescent="0.2">
      <c r="A1" s="38" t="s">
        <v>131</v>
      </c>
      <c r="B1" s="35"/>
      <c r="C1" s="35"/>
      <c r="D1" s="35"/>
      <c r="E1" s="35"/>
      <c r="F1" s="35"/>
      <c r="G1" s="35"/>
      <c r="H1" s="35"/>
      <c r="I1" s="35"/>
    </row>
    <row r="2" spans="1:9" x14ac:dyDescent="0.2">
      <c r="A2" s="36" t="s">
        <v>132</v>
      </c>
      <c r="B2" s="35"/>
      <c r="C2" s="35"/>
      <c r="D2" s="35"/>
      <c r="E2" s="35"/>
      <c r="F2" s="35"/>
      <c r="G2" s="35"/>
      <c r="H2" s="35"/>
      <c r="I2" s="35"/>
    </row>
    <row r="4" spans="1:9" ht="30" customHeight="1" x14ac:dyDescent="0.2">
      <c r="A4" s="1" t="s">
        <v>133</v>
      </c>
      <c r="B4" s="1" t="s">
        <v>134</v>
      </c>
      <c r="C4" s="1" t="s">
        <v>135</v>
      </c>
      <c r="D4" s="1" t="s">
        <v>136</v>
      </c>
      <c r="E4" s="1" t="s">
        <v>126</v>
      </c>
      <c r="F4" s="1" t="s">
        <v>137</v>
      </c>
      <c r="G4" s="1" t="s">
        <v>138</v>
      </c>
      <c r="H4" s="1" t="s">
        <v>139</v>
      </c>
      <c r="I4" s="1" t="s">
        <v>130</v>
      </c>
    </row>
    <row r="5" spans="1:9" ht="28" customHeight="1" x14ac:dyDescent="0.2">
      <c r="A5" s="5" t="s">
        <v>140</v>
      </c>
      <c r="B5" s="2" t="s">
        <v>107</v>
      </c>
      <c r="C5" s="20">
        <v>100</v>
      </c>
      <c r="D5" s="20">
        <v>250</v>
      </c>
      <c r="E5" s="23">
        <f>C5*((Assumptions!$B$7*Assumptions!$B$5) + (Assumptions!$B$14*Assumptions!$B$9) + ((1-Assumptions!$B$14)*Assumptions!$B$10))+D5*((Assumptions!$B$8*Assumptions!$B$5))</f>
        <v>63.228000000000009</v>
      </c>
      <c r="F5" s="23">
        <f>'Tier Economics'!B5</f>
        <v>499</v>
      </c>
      <c r="G5" s="4" t="str">
        <f>'Tier Economics'!C5&amp;" voice / "&amp;'Tier Economics'!D5&amp;" chat"</f>
        <v>200 voice / 500 chat</v>
      </c>
      <c r="H5" s="23">
        <f>MAX(0,C5-'Tier Economics'!C5)*'Tier Economics'!E5+MAX(0,D5-'Tier Economics'!D5)*'Tier Economics'!F5</f>
        <v>0</v>
      </c>
      <c r="I5" s="24">
        <f>(F5+H5-E5)/(F5+H5)</f>
        <v>0.87329058116232461</v>
      </c>
    </row>
    <row r="6" spans="1:9" ht="28" customHeight="1" x14ac:dyDescent="0.2">
      <c r="A6" s="5" t="s">
        <v>141</v>
      </c>
      <c r="B6" s="2" t="s">
        <v>108</v>
      </c>
      <c r="C6" s="20">
        <v>600</v>
      </c>
      <c r="D6" s="20">
        <v>1500</v>
      </c>
      <c r="E6" s="23">
        <f>C6*((Assumptions!$B$7*Assumptions!$B$5) + (Assumptions!$B$14*Assumptions!$B$9) + ((1-Assumptions!$B$14)*Assumptions!$B$10))+D6*((Assumptions!$B$8*Assumptions!$B$5))</f>
        <v>379.36800000000005</v>
      </c>
      <c r="F6" s="23">
        <f>'Tier Economics'!B6</f>
        <v>1499</v>
      </c>
      <c r="G6" s="4" t="str">
        <f>'Tier Economics'!C6&amp;" voice / "&amp;'Tier Economics'!D6&amp;" chat"</f>
        <v>800 voice / 2000 chat</v>
      </c>
      <c r="H6" s="23">
        <f>MAX(0,C6-'Tier Economics'!C6)*'Tier Economics'!E6+MAX(0,D6-'Tier Economics'!D6)*'Tier Economics'!F6</f>
        <v>0</v>
      </c>
      <c r="I6" s="24">
        <f>(F6+H6-E6)/(F6+H6)</f>
        <v>0.74691927951967985</v>
      </c>
    </row>
    <row r="7" spans="1:9" ht="28" customHeight="1" x14ac:dyDescent="0.2">
      <c r="A7" s="5" t="s">
        <v>142</v>
      </c>
      <c r="B7" s="2" t="s">
        <v>109</v>
      </c>
      <c r="C7" s="20">
        <v>1800</v>
      </c>
      <c r="D7" s="20">
        <v>4500</v>
      </c>
      <c r="E7" s="23">
        <f>C7*((Assumptions!$B$7*Assumptions!$B$5) + (Assumptions!$B$14*Assumptions!$B$9) + ((1-Assumptions!$B$14)*Assumptions!$B$10))+D7*((Assumptions!$B$8*Assumptions!$B$5))</f>
        <v>1138.1040000000003</v>
      </c>
      <c r="F7" s="23">
        <f>'Tier Economics'!B7</f>
        <v>3999</v>
      </c>
      <c r="G7" s="4" t="str">
        <f>'Tier Economics'!C7&amp;" voice / "&amp;'Tier Economics'!D7&amp;" chat"</f>
        <v>2500 voice / 6000 chat</v>
      </c>
      <c r="H7" s="23">
        <f>MAX(0,C7-'Tier Economics'!C7)*'Tier Economics'!E7+MAX(0,D7-'Tier Economics'!D7)*'Tier Economics'!F7</f>
        <v>0</v>
      </c>
      <c r="I7" s="24">
        <f>(F7+H7-E7)/(F7+H7)</f>
        <v>0.71540285071267806</v>
      </c>
    </row>
    <row r="8" spans="1:9" ht="28" customHeight="1" x14ac:dyDescent="0.2">
      <c r="A8" s="5" t="s">
        <v>143</v>
      </c>
      <c r="B8" s="2" t="s">
        <v>110</v>
      </c>
      <c r="C8" s="20">
        <v>5000</v>
      </c>
      <c r="D8" s="20">
        <v>12000</v>
      </c>
      <c r="E8" s="23">
        <f>C8*((Assumptions!$B$7*Assumptions!$B$5) + (Assumptions!$B$14*Assumptions!$B$9) + ((1-Assumptions!$B$14)*Assumptions!$B$10))+D8*((Assumptions!$B$8*Assumptions!$B$5))</f>
        <v>3099.4000000000005</v>
      </c>
      <c r="F8" s="23">
        <f>'Tier Economics'!B8</f>
        <v>7500</v>
      </c>
      <c r="G8" s="4" t="str">
        <f>'Tier Economics'!C8&amp;" voice / "&amp;'Tier Economics'!D8&amp;" chat"</f>
        <v>5500 voice / 13000 chat</v>
      </c>
      <c r="H8" s="23">
        <f>MAX(0,C8-'Tier Economics'!C8)*'Tier Economics'!E8+MAX(0,D8-'Tier Economics'!D8)*'Tier Economics'!F8</f>
        <v>0</v>
      </c>
      <c r="I8" s="24">
        <f>(F8+H8-E8)/(F8+H8)</f>
        <v>0.58674666666666664</v>
      </c>
    </row>
    <row r="11" spans="1:9" ht="22" customHeight="1" x14ac:dyDescent="0.2">
      <c r="A11" s="39" t="s">
        <v>144</v>
      </c>
      <c r="B11" s="35"/>
      <c r="C11" s="35"/>
      <c r="D11" s="35"/>
      <c r="E11" s="35"/>
      <c r="F11" s="35"/>
      <c r="G11" s="35"/>
      <c r="H11" s="35"/>
      <c r="I11" s="35"/>
    </row>
    <row r="12" spans="1:9" ht="30" customHeight="1" x14ac:dyDescent="0.2">
      <c r="A12" s="1" t="s">
        <v>133</v>
      </c>
      <c r="B12" s="1" t="s">
        <v>134</v>
      </c>
      <c r="C12" s="1" t="s">
        <v>135</v>
      </c>
      <c r="D12" s="1" t="s">
        <v>136</v>
      </c>
      <c r="E12" s="1" t="s">
        <v>126</v>
      </c>
      <c r="F12" s="1" t="s">
        <v>137</v>
      </c>
      <c r="G12" s="1" t="s">
        <v>138</v>
      </c>
      <c r="H12" s="1" t="s">
        <v>139</v>
      </c>
      <c r="I12" s="1" t="s">
        <v>130</v>
      </c>
    </row>
    <row r="13" spans="1:9" ht="28" customHeight="1" x14ac:dyDescent="0.2">
      <c r="A13" s="25" t="s">
        <v>145</v>
      </c>
      <c r="B13" s="25" t="s">
        <v>107</v>
      </c>
      <c r="C13" s="26">
        <v>300</v>
      </c>
      <c r="D13" s="26">
        <v>700</v>
      </c>
      <c r="E13" s="23">
        <f>C13*((Assumptions!$B$7*Assumptions!$B$5) + (Assumptions!$B$14*Assumptions!$B$9) + ((1-Assumptions!$B$14)*Assumptions!$B$10))+D13*((Assumptions!$B$8*Assumptions!$B$5))</f>
        <v>183.48400000000004</v>
      </c>
      <c r="F13" s="23">
        <f>VLOOKUP(B13,'Tier Economics'!$A$5:$F$8,2,FALSE)</f>
        <v>499</v>
      </c>
      <c r="G13" s="4" t="str">
        <f>VLOOKUP(B13,'Tier Economics'!$A$5:$F$8,3,FALSE)&amp;" voice / "&amp;VLOOKUP(B13,'Tier Economics'!$A$5:$F$8,4,FALSE)&amp;" chat"</f>
        <v>200 voice / 500 chat</v>
      </c>
      <c r="H13" s="23">
        <f>MAX(0,C13-VLOOKUP(B13,'Tier Economics'!$A$5:$F$8,3,FALSE))*VLOOKUP(B13,'Tier Economics'!$A$5:$F$8,5,FALSE)+MAX(0,D13-VLOOKUP(B13,'Tier Economics'!$A$5:$F$8,4,FALSE))*VLOOKUP(B13,'Tier Economics'!$A$5:$F$8,6,FALSE)</f>
        <v>230</v>
      </c>
      <c r="I13" s="24">
        <f>(F13+H13-E13)/(F13+H13)</f>
        <v>0.7483072702331961</v>
      </c>
    </row>
    <row r="14" spans="1:9" ht="28" customHeight="1" x14ac:dyDescent="0.2">
      <c r="A14" s="25" t="s">
        <v>146</v>
      </c>
      <c r="B14" s="25" t="s">
        <v>107</v>
      </c>
      <c r="C14" s="26">
        <v>300</v>
      </c>
      <c r="D14" s="26">
        <v>700</v>
      </c>
      <c r="E14" s="23">
        <f>C14*((Assumptions!$B$7*Assumptions!$B$5) + (Assumptions!$B$14*Assumptions!$B$9) + ((1-Assumptions!$B$14)*Assumptions!$B$10))+D14*((Assumptions!$B$8*Assumptions!$B$5))</f>
        <v>183.48400000000004</v>
      </c>
      <c r="F14" s="23">
        <f>VLOOKUP(B14,'Tier Economics'!$A$5:$F$8,2,FALSE)</f>
        <v>499</v>
      </c>
      <c r="G14" s="4" t="str">
        <f>VLOOKUP(B14,'Tier Economics'!$A$5:$F$8,3,FALSE)&amp;" voice / "&amp;VLOOKUP(B14,'Tier Economics'!$A$5:$F$8,4,FALSE)&amp;" chat"</f>
        <v>200 voice / 500 chat</v>
      </c>
      <c r="H14" s="23">
        <f>MAX(0,C14-VLOOKUP(B14,'Tier Economics'!$A$5:$F$8,3,FALSE))*VLOOKUP(B14,'Tier Economics'!$A$5:$F$8,5,FALSE)+MAX(0,D14-VLOOKUP(B14,'Tier Economics'!$A$5:$F$8,4,FALSE))*VLOOKUP(B14,'Tier Economics'!$A$5:$F$8,6,FALSE)</f>
        <v>230</v>
      </c>
      <c r="I14" s="24">
        <f>(F14+H14-E14)/(F14+H14)</f>
        <v>0.7483072702331961</v>
      </c>
    </row>
    <row r="15" spans="1:9" ht="28" customHeight="1" x14ac:dyDescent="0.2">
      <c r="A15" s="25" t="s">
        <v>147</v>
      </c>
      <c r="B15" s="25" t="s">
        <v>107</v>
      </c>
      <c r="C15" s="26">
        <v>300</v>
      </c>
      <c r="D15" s="26">
        <v>700</v>
      </c>
      <c r="E15" s="23">
        <f>C15*((Assumptions!$B$7*Assumptions!$B$5) + (Assumptions!$B$14*Assumptions!$B$9) + ((1-Assumptions!$B$14)*Assumptions!$B$10))+D15*((Assumptions!$B$8*Assumptions!$B$5))</f>
        <v>183.48400000000004</v>
      </c>
      <c r="F15" s="23">
        <f>VLOOKUP(B15,'Tier Economics'!$A$5:$F$8,2,FALSE)</f>
        <v>499</v>
      </c>
      <c r="G15" s="4" t="str">
        <f>VLOOKUP(B15,'Tier Economics'!$A$5:$F$8,3,FALSE)&amp;" voice / "&amp;VLOOKUP(B15,'Tier Economics'!$A$5:$F$8,4,FALSE)&amp;" chat"</f>
        <v>200 voice / 500 chat</v>
      </c>
      <c r="H15" s="23">
        <f>MAX(0,C15-VLOOKUP(B15,'Tier Economics'!$A$5:$F$8,3,FALSE))*VLOOKUP(B15,'Tier Economics'!$A$5:$F$8,5,FALSE)+MAX(0,D15-VLOOKUP(B15,'Tier Economics'!$A$5:$F$8,4,FALSE))*VLOOKUP(B15,'Tier Economics'!$A$5:$F$8,6,FALSE)</f>
        <v>230</v>
      </c>
      <c r="I15" s="24">
        <f>(F15+H15-E15)/(F15+H15)</f>
        <v>0.7483072702331961</v>
      </c>
    </row>
  </sheetData>
  <mergeCells count="3">
    <mergeCell ref="A1:I1"/>
    <mergeCell ref="A2:I2"/>
    <mergeCell ref="A11:I11"/>
  </mergeCells>
  <conditionalFormatting sqref="I5:I8">
    <cfRule type="cellIs" dxfId="5" priority="1" operator="greaterThanOrEqual">
      <formula>0.6</formula>
    </cfRule>
    <cfRule type="cellIs" dxfId="4" priority="2" operator="between">
      <formula>0.45</formula>
      <formula>0.5999</formula>
    </cfRule>
    <cfRule type="cellIs" dxfId="3" priority="3" operator="lessThan">
      <formula>0.45</formula>
    </cfRule>
  </conditionalFormatting>
  <pageMargins left="0.4" right="0.4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7"/>
  <sheetViews>
    <sheetView showGridLines="0" workbookViewId="0">
      <selection activeCell="D16" sqref="D16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80" customWidth="1"/>
    <col min="4" max="4" width="24" customWidth="1"/>
  </cols>
  <sheetData>
    <row r="1" spans="1:4" ht="30" customHeight="1" x14ac:dyDescent="0.2">
      <c r="A1" s="38" t="s">
        <v>148</v>
      </c>
      <c r="B1" s="35"/>
      <c r="C1" s="35"/>
      <c r="D1" s="35"/>
    </row>
    <row r="2" spans="1:4" x14ac:dyDescent="0.2">
      <c r="A2" s="36" t="s">
        <v>149</v>
      </c>
      <c r="B2" s="35"/>
      <c r="C2" s="35"/>
      <c r="D2" s="35"/>
    </row>
    <row r="4" spans="1:4" ht="30" customHeight="1" x14ac:dyDescent="0.2">
      <c r="A4" s="1" t="s">
        <v>150</v>
      </c>
      <c r="B4" s="1" t="s">
        <v>151</v>
      </c>
      <c r="C4" s="1" t="s">
        <v>152</v>
      </c>
      <c r="D4" s="1" t="s">
        <v>153</v>
      </c>
    </row>
    <row r="5" spans="1:4" ht="70" customHeight="1" x14ac:dyDescent="0.2">
      <c r="A5" s="2" t="s">
        <v>154</v>
      </c>
      <c r="B5" s="19">
        <v>1500</v>
      </c>
      <c r="C5" s="5" t="s">
        <v>155</v>
      </c>
      <c r="D5" s="11" t="s">
        <v>156</v>
      </c>
    </row>
    <row r="6" spans="1:4" ht="70" customHeight="1" x14ac:dyDescent="0.2">
      <c r="A6" s="2" t="s">
        <v>157</v>
      </c>
      <c r="B6" s="19">
        <v>3500</v>
      </c>
      <c r="C6" s="5" t="s">
        <v>158</v>
      </c>
      <c r="D6" s="11" t="s">
        <v>159</v>
      </c>
    </row>
    <row r="7" spans="1:4" ht="70" customHeight="1" x14ac:dyDescent="0.2">
      <c r="A7" s="2" t="s">
        <v>160</v>
      </c>
      <c r="B7" s="19">
        <v>8000</v>
      </c>
      <c r="C7" s="5" t="s">
        <v>161</v>
      </c>
      <c r="D7" s="11" t="s">
        <v>162</v>
      </c>
    </row>
  </sheetData>
  <mergeCells count="2">
    <mergeCell ref="A1:D1"/>
    <mergeCell ref="A2:D2"/>
  </mergeCells>
  <pageMargins left="0.4" right="0.4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3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6" customWidth="1"/>
    <col min="4" max="4" width="18" customWidth="1"/>
    <col min="5" max="5" width="60" customWidth="1"/>
  </cols>
  <sheetData>
    <row r="1" spans="1:5" ht="30" customHeight="1" x14ac:dyDescent="0.2">
      <c r="A1" s="38" t="s">
        <v>163</v>
      </c>
      <c r="B1" s="35"/>
      <c r="C1" s="35"/>
      <c r="D1" s="35"/>
      <c r="E1" s="35"/>
    </row>
    <row r="2" spans="1:5" x14ac:dyDescent="0.2">
      <c r="A2" s="36" t="s">
        <v>164</v>
      </c>
      <c r="B2" s="35"/>
      <c r="C2" s="35"/>
      <c r="D2" s="35"/>
      <c r="E2" s="35"/>
    </row>
    <row r="4" spans="1:5" ht="30" customHeight="1" x14ac:dyDescent="0.2">
      <c r="A4" s="1" t="s">
        <v>165</v>
      </c>
      <c r="B4" s="1" t="s">
        <v>166</v>
      </c>
      <c r="C4" s="1" t="s">
        <v>167</v>
      </c>
      <c r="D4" s="1" t="s">
        <v>168</v>
      </c>
      <c r="E4" s="1" t="s">
        <v>27</v>
      </c>
    </row>
    <row r="5" spans="1:5" ht="40" customHeight="1" x14ac:dyDescent="0.2">
      <c r="A5" s="2" t="s">
        <v>169</v>
      </c>
      <c r="B5" s="5" t="s">
        <v>170</v>
      </c>
      <c r="C5" s="27" t="s">
        <v>171</v>
      </c>
      <c r="D5" s="28">
        <v>39</v>
      </c>
      <c r="E5" s="11" t="s">
        <v>172</v>
      </c>
    </row>
    <row r="6" spans="1:5" ht="40" customHeight="1" x14ac:dyDescent="0.2">
      <c r="A6" s="2" t="s">
        <v>173</v>
      </c>
      <c r="B6" s="5" t="s">
        <v>174</v>
      </c>
      <c r="C6" s="27" t="s">
        <v>175</v>
      </c>
      <c r="D6" s="28">
        <v>14</v>
      </c>
      <c r="E6" s="11" t="s">
        <v>176</v>
      </c>
    </row>
    <row r="7" spans="1:5" ht="40" customHeight="1" x14ac:dyDescent="0.2">
      <c r="A7" s="2" t="s">
        <v>177</v>
      </c>
      <c r="B7" s="5" t="s">
        <v>178</v>
      </c>
      <c r="C7" s="27" t="s">
        <v>179</v>
      </c>
      <c r="D7" s="28">
        <v>83</v>
      </c>
      <c r="E7" s="11" t="s">
        <v>180</v>
      </c>
    </row>
    <row r="8" spans="1:5" ht="40" customHeight="1" x14ac:dyDescent="0.2">
      <c r="A8" s="2" t="s">
        <v>181</v>
      </c>
      <c r="B8" s="5" t="s">
        <v>182</v>
      </c>
      <c r="C8" s="27" t="s">
        <v>183</v>
      </c>
      <c r="D8" s="28">
        <v>153</v>
      </c>
      <c r="E8" s="11" t="s">
        <v>184</v>
      </c>
    </row>
    <row r="9" spans="1:5" ht="40" customHeight="1" x14ac:dyDescent="0.2">
      <c r="A9" s="2" t="s">
        <v>122</v>
      </c>
      <c r="B9" s="5" t="s">
        <v>185</v>
      </c>
      <c r="C9" s="27" t="s">
        <v>186</v>
      </c>
      <c r="D9" s="28">
        <v>30</v>
      </c>
      <c r="E9" s="11" t="s">
        <v>187</v>
      </c>
    </row>
    <row r="10" spans="1:5" ht="40" customHeight="1" x14ac:dyDescent="0.2">
      <c r="A10" s="2" t="s">
        <v>188</v>
      </c>
      <c r="B10" s="5" t="s">
        <v>189</v>
      </c>
      <c r="C10" s="27" t="s">
        <v>190</v>
      </c>
      <c r="D10" s="28">
        <v>12</v>
      </c>
      <c r="E10" s="11" t="s">
        <v>191</v>
      </c>
    </row>
    <row r="11" spans="1:5" ht="40" customHeight="1" x14ac:dyDescent="0.2">
      <c r="A11" s="2" t="s">
        <v>192</v>
      </c>
      <c r="B11" s="5" t="s">
        <v>193</v>
      </c>
      <c r="C11" s="27" t="s">
        <v>194</v>
      </c>
      <c r="D11" s="28">
        <v>30</v>
      </c>
      <c r="E11" s="11" t="s">
        <v>195</v>
      </c>
    </row>
    <row r="12" spans="1:5" ht="32" x14ac:dyDescent="0.2">
      <c r="A12" s="14" t="s">
        <v>196</v>
      </c>
      <c r="D12" s="16">
        <f>D5+D6+D8+D9+D10+D11</f>
        <v>278</v>
      </c>
    </row>
    <row r="13" spans="1:5" ht="32" x14ac:dyDescent="0.2">
      <c r="A13" s="14" t="s">
        <v>197</v>
      </c>
      <c r="D13" s="29">
        <f>D5+D7+D8+D9+D10+D11</f>
        <v>347</v>
      </c>
    </row>
  </sheetData>
  <mergeCells count="2">
    <mergeCell ref="A2:E2"/>
    <mergeCell ref="A1:E1"/>
  </mergeCells>
  <pageMargins left="0.4" right="0.4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21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38" customWidth="1"/>
    <col min="2" max="13" width="12" customWidth="1"/>
    <col min="14" max="14" width="16" customWidth="1"/>
  </cols>
  <sheetData>
    <row r="1" spans="1:14" ht="30" customHeight="1" x14ac:dyDescent="0.2">
      <c r="A1" s="38" t="s">
        <v>198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2">
      <c r="A2" s="36" t="s">
        <v>199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4" spans="1:14" ht="24" customHeight="1" x14ac:dyDescent="0.2">
      <c r="A4" s="1" t="s">
        <v>200</v>
      </c>
      <c r="B4" s="1" t="s">
        <v>201</v>
      </c>
      <c r="C4" s="1" t="s">
        <v>202</v>
      </c>
      <c r="D4" s="1" t="s">
        <v>203</v>
      </c>
      <c r="E4" s="1" t="s">
        <v>204</v>
      </c>
      <c r="F4" s="1" t="s">
        <v>205</v>
      </c>
      <c r="G4" s="1" t="s">
        <v>206</v>
      </c>
      <c r="H4" s="1" t="s">
        <v>207</v>
      </c>
      <c r="I4" s="1" t="s">
        <v>208</v>
      </c>
      <c r="J4" s="1" t="s">
        <v>209</v>
      </c>
      <c r="K4" s="1" t="s">
        <v>210</v>
      </c>
      <c r="L4" s="1" t="s">
        <v>211</v>
      </c>
      <c r="M4" s="1" t="s">
        <v>212</v>
      </c>
      <c r="N4" s="1" t="s">
        <v>213</v>
      </c>
    </row>
    <row r="5" spans="1:14" ht="16" x14ac:dyDescent="0.2">
      <c r="A5" s="2" t="s">
        <v>214</v>
      </c>
      <c r="B5" s="22">
        <v>1</v>
      </c>
      <c r="C5" s="22">
        <v>2</v>
      </c>
      <c r="D5" s="22">
        <v>3</v>
      </c>
      <c r="E5" s="22">
        <v>4</v>
      </c>
      <c r="F5" s="22">
        <v>5</v>
      </c>
      <c r="G5" s="22">
        <v>6</v>
      </c>
      <c r="H5" s="22">
        <v>7</v>
      </c>
      <c r="I5" s="22">
        <v>8</v>
      </c>
      <c r="J5" s="22">
        <v>8</v>
      </c>
      <c r="K5" s="22">
        <v>8</v>
      </c>
      <c r="L5" s="22">
        <v>9</v>
      </c>
      <c r="M5" s="22">
        <v>10</v>
      </c>
      <c r="N5" s="30">
        <f>AVERAGE(B5:M5)</f>
        <v>5.916666666666667</v>
      </c>
    </row>
    <row r="6" spans="1:14" ht="16" x14ac:dyDescent="0.2">
      <c r="A6" s="2" t="s">
        <v>215</v>
      </c>
      <c r="B6" s="23">
        <v>687</v>
      </c>
      <c r="C6" s="23">
        <v>2061</v>
      </c>
      <c r="D6" s="23">
        <v>3435</v>
      </c>
      <c r="E6" s="23">
        <v>4809</v>
      </c>
      <c r="F6" s="23">
        <v>6183</v>
      </c>
      <c r="G6" s="23">
        <v>7557</v>
      </c>
      <c r="H6" s="23">
        <v>8931</v>
      </c>
      <c r="I6" s="23">
        <v>10305</v>
      </c>
      <c r="J6" s="23">
        <v>10992</v>
      </c>
      <c r="K6" s="23">
        <v>10992</v>
      </c>
      <c r="L6" s="23">
        <v>11679</v>
      </c>
      <c r="M6" s="23">
        <v>13053</v>
      </c>
      <c r="N6" s="19">
        <f t="shared" ref="N6:N11" si="0">SUM(B6:M6)</f>
        <v>90684</v>
      </c>
    </row>
    <row r="7" spans="1:14" ht="16" x14ac:dyDescent="0.2">
      <c r="A7" s="2" t="s">
        <v>216</v>
      </c>
      <c r="B7" s="23">
        <v>3175</v>
      </c>
      <c r="C7" s="23">
        <v>3175</v>
      </c>
      <c r="D7" s="23">
        <v>3175</v>
      </c>
      <c r="E7" s="23">
        <v>3175</v>
      </c>
      <c r="F7" s="23">
        <v>3175</v>
      </c>
      <c r="G7" s="23">
        <v>3175</v>
      </c>
      <c r="H7" s="23">
        <v>3175</v>
      </c>
      <c r="I7" s="23">
        <v>3175</v>
      </c>
      <c r="J7" s="23">
        <v>0</v>
      </c>
      <c r="K7" s="23">
        <v>0</v>
      </c>
      <c r="L7" s="23">
        <v>3175</v>
      </c>
      <c r="M7" s="23">
        <v>3175</v>
      </c>
      <c r="N7" s="19">
        <f t="shared" si="0"/>
        <v>31750</v>
      </c>
    </row>
    <row r="8" spans="1:14" ht="16" x14ac:dyDescent="0.2">
      <c r="A8" s="14" t="s">
        <v>217</v>
      </c>
      <c r="B8" s="19">
        <f t="shared" ref="B8:M8" si="1">B6+B7</f>
        <v>3862</v>
      </c>
      <c r="C8" s="19">
        <f t="shared" si="1"/>
        <v>5236</v>
      </c>
      <c r="D8" s="19">
        <f t="shared" si="1"/>
        <v>6610</v>
      </c>
      <c r="E8" s="19">
        <f t="shared" si="1"/>
        <v>7984</v>
      </c>
      <c r="F8" s="19">
        <f t="shared" si="1"/>
        <v>9358</v>
      </c>
      <c r="G8" s="19">
        <f t="shared" si="1"/>
        <v>10732</v>
      </c>
      <c r="H8" s="19">
        <f t="shared" si="1"/>
        <v>12106</v>
      </c>
      <c r="I8" s="19">
        <f t="shared" si="1"/>
        <v>13480</v>
      </c>
      <c r="J8" s="19">
        <f t="shared" si="1"/>
        <v>10992</v>
      </c>
      <c r="K8" s="19">
        <f t="shared" si="1"/>
        <v>10992</v>
      </c>
      <c r="L8" s="19">
        <f t="shared" si="1"/>
        <v>14854</v>
      </c>
      <c r="M8" s="19">
        <f t="shared" si="1"/>
        <v>16228</v>
      </c>
      <c r="N8" s="31">
        <f t="shared" si="0"/>
        <v>122434</v>
      </c>
    </row>
    <row r="9" spans="1:14" ht="16" x14ac:dyDescent="0.2">
      <c r="A9" s="11" t="s">
        <v>218</v>
      </c>
      <c r="B9" s="23">
        <v>370.02</v>
      </c>
      <c r="C9" s="23">
        <v>740.04</v>
      </c>
      <c r="D9" s="23">
        <v>1110.06</v>
      </c>
      <c r="E9" s="23">
        <v>1480.08</v>
      </c>
      <c r="F9" s="23">
        <v>1850.1</v>
      </c>
      <c r="G9" s="23">
        <v>2220.12</v>
      </c>
      <c r="H9" s="23">
        <v>2590.14</v>
      </c>
      <c r="I9" s="23">
        <v>2960.16</v>
      </c>
      <c r="J9" s="23">
        <v>2960.16</v>
      </c>
      <c r="K9" s="23">
        <v>2960.16</v>
      </c>
      <c r="L9" s="23">
        <v>3330.18</v>
      </c>
      <c r="M9" s="23">
        <v>3700.2</v>
      </c>
      <c r="N9" s="23">
        <f t="shared" si="0"/>
        <v>26271.420000000002</v>
      </c>
    </row>
    <row r="10" spans="1:14" ht="16" x14ac:dyDescent="0.2">
      <c r="A10" s="11" t="s">
        <v>219</v>
      </c>
      <c r="B10" s="23">
        <v>266</v>
      </c>
      <c r="C10" s="23">
        <v>266</v>
      </c>
      <c r="D10" s="23">
        <v>266</v>
      </c>
      <c r="E10" s="23">
        <v>266</v>
      </c>
      <c r="F10" s="23">
        <v>266</v>
      </c>
      <c r="G10" s="23">
        <v>266</v>
      </c>
      <c r="H10" s="23">
        <v>266</v>
      </c>
      <c r="I10" s="23">
        <v>266</v>
      </c>
      <c r="J10" s="23">
        <v>266</v>
      </c>
      <c r="K10" s="23">
        <v>266</v>
      </c>
      <c r="L10" s="23">
        <v>266</v>
      </c>
      <c r="M10" s="23">
        <v>266</v>
      </c>
      <c r="N10" s="23">
        <f t="shared" si="0"/>
        <v>3192</v>
      </c>
    </row>
    <row r="11" spans="1:14" ht="16" x14ac:dyDescent="0.2">
      <c r="A11" s="14" t="s">
        <v>129</v>
      </c>
      <c r="B11" s="19">
        <f t="shared" ref="B11:M11" si="2">B8-B9-B10</f>
        <v>3225.98</v>
      </c>
      <c r="C11" s="19">
        <f t="shared" si="2"/>
        <v>4229.96</v>
      </c>
      <c r="D11" s="19">
        <f t="shared" si="2"/>
        <v>5233.9400000000005</v>
      </c>
      <c r="E11" s="19">
        <f t="shared" si="2"/>
        <v>6237.92</v>
      </c>
      <c r="F11" s="19">
        <f t="shared" si="2"/>
        <v>7241.9</v>
      </c>
      <c r="G11" s="19">
        <f t="shared" si="2"/>
        <v>8245.880000000001</v>
      </c>
      <c r="H11" s="19">
        <f t="shared" si="2"/>
        <v>9249.86</v>
      </c>
      <c r="I11" s="19">
        <f t="shared" si="2"/>
        <v>10253.84</v>
      </c>
      <c r="J11" s="19">
        <f t="shared" si="2"/>
        <v>7765.84</v>
      </c>
      <c r="K11" s="19">
        <f t="shared" si="2"/>
        <v>7765.84</v>
      </c>
      <c r="L11" s="19">
        <f t="shared" si="2"/>
        <v>11257.82</v>
      </c>
      <c r="M11" s="19">
        <f t="shared" si="2"/>
        <v>12261.8</v>
      </c>
      <c r="N11" s="31">
        <f t="shared" si="0"/>
        <v>92970.58</v>
      </c>
    </row>
    <row r="12" spans="1:14" ht="16" x14ac:dyDescent="0.2">
      <c r="A12" s="2" t="s">
        <v>130</v>
      </c>
      <c r="B12" s="32">
        <f t="shared" ref="B12:M12" si="3">IFERROR(B11/B8,0)</f>
        <v>0.83531330916623514</v>
      </c>
      <c r="C12" s="32">
        <f t="shared" si="3"/>
        <v>0.80786096256684492</v>
      </c>
      <c r="D12" s="32">
        <f t="shared" si="3"/>
        <v>0.79182148260211804</v>
      </c>
      <c r="E12" s="32">
        <f t="shared" si="3"/>
        <v>0.78130260521042083</v>
      </c>
      <c r="F12" s="32">
        <f t="shared" si="3"/>
        <v>0.77387262235520404</v>
      </c>
      <c r="G12" s="32">
        <f t="shared" si="3"/>
        <v>0.76834513604174437</v>
      </c>
      <c r="H12" s="32">
        <f t="shared" si="3"/>
        <v>0.76407236081282015</v>
      </c>
      <c r="I12" s="32">
        <f t="shared" si="3"/>
        <v>0.76067062314540057</v>
      </c>
      <c r="J12" s="32">
        <f t="shared" si="3"/>
        <v>0.70649927219796216</v>
      </c>
      <c r="K12" s="32">
        <f t="shared" si="3"/>
        <v>0.70649927219796216</v>
      </c>
      <c r="L12" s="32">
        <f t="shared" si="3"/>
        <v>0.75789820923656925</v>
      </c>
      <c r="M12" s="32">
        <f t="shared" si="3"/>
        <v>0.7555952674389943</v>
      </c>
      <c r="N12" s="32">
        <f>N11/N8</f>
        <v>0.75935263080516846</v>
      </c>
    </row>
    <row r="14" spans="1:14" ht="22" customHeight="1" x14ac:dyDescent="0.2">
      <c r="A14" s="39" t="s">
        <v>220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x14ac:dyDescent="0.2">
      <c r="A15" s="34" t="s">
        <v>221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</row>
    <row r="16" spans="1:14" x14ac:dyDescent="0.2">
      <c r="A16" s="34" t="s">
        <v>222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x14ac:dyDescent="0.2">
      <c r="A17" s="34" t="s">
        <v>223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x14ac:dyDescent="0.2">
      <c r="A18" s="34" t="s">
        <v>224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1:14" x14ac:dyDescent="0.2">
      <c r="A19" s="34" t="s">
        <v>225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</row>
    <row r="20" spans="1:14" x14ac:dyDescent="0.2">
      <c r="A20" s="34" t="s">
        <v>226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1:14" x14ac:dyDescent="0.2">
      <c r="A21" s="34" t="s">
        <v>227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</sheetData>
  <mergeCells count="10">
    <mergeCell ref="A2:N2"/>
    <mergeCell ref="A15:N15"/>
    <mergeCell ref="A19:N19"/>
    <mergeCell ref="A14:N14"/>
    <mergeCell ref="A1:N1"/>
    <mergeCell ref="A17:N17"/>
    <mergeCell ref="A18:N18"/>
    <mergeCell ref="A20:N20"/>
    <mergeCell ref="A21:N21"/>
    <mergeCell ref="A16:N16"/>
  </mergeCells>
  <pageMargins left="0.4" right="0.4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10"/>
  <sheetViews>
    <sheetView showGridLines="0" tabSelected="1" workbookViewId="0">
      <selection sqref="A1:D1"/>
    </sheetView>
  </sheetViews>
  <sheetFormatPr baseColWidth="10" defaultColWidth="8.83203125" defaultRowHeight="15" x14ac:dyDescent="0.2"/>
  <cols>
    <col min="1" max="1" width="26" customWidth="1"/>
    <col min="2" max="2" width="65" customWidth="1"/>
    <col min="3" max="3" width="14" customWidth="1"/>
    <col min="4" max="4" width="70" customWidth="1"/>
  </cols>
  <sheetData>
    <row r="1" spans="1:4" ht="30" customHeight="1" x14ac:dyDescent="0.2">
      <c r="A1" s="38" t="s">
        <v>228</v>
      </c>
      <c r="B1" s="35"/>
      <c r="C1" s="35"/>
      <c r="D1" s="35"/>
    </row>
    <row r="2" spans="1:4" x14ac:dyDescent="0.2">
      <c r="A2" s="36" t="s">
        <v>229</v>
      </c>
      <c r="B2" s="35"/>
      <c r="C2" s="35"/>
      <c r="D2" s="35"/>
    </row>
    <row r="4" spans="1:4" ht="28" customHeight="1" x14ac:dyDescent="0.2">
      <c r="A4" s="1" t="s">
        <v>230</v>
      </c>
      <c r="B4" s="1" t="s">
        <v>231</v>
      </c>
      <c r="C4" s="1" t="s">
        <v>232</v>
      </c>
      <c r="D4" s="1" t="s">
        <v>233</v>
      </c>
    </row>
    <row r="5" spans="1:4" ht="60" customHeight="1" x14ac:dyDescent="0.2">
      <c r="A5" s="2" t="s">
        <v>234</v>
      </c>
      <c r="B5" s="5" t="s">
        <v>235</v>
      </c>
      <c r="C5" s="33" t="s">
        <v>236</v>
      </c>
      <c r="D5" s="5" t="s">
        <v>237</v>
      </c>
    </row>
    <row r="6" spans="1:4" ht="60" customHeight="1" x14ac:dyDescent="0.2">
      <c r="A6" s="2" t="s">
        <v>238</v>
      </c>
      <c r="B6" s="5" t="s">
        <v>239</v>
      </c>
      <c r="C6" s="33" t="s">
        <v>240</v>
      </c>
      <c r="D6" s="5" t="s">
        <v>241</v>
      </c>
    </row>
    <row r="7" spans="1:4" ht="60" customHeight="1" x14ac:dyDescent="0.2">
      <c r="A7" s="2" t="s">
        <v>242</v>
      </c>
      <c r="B7" s="5" t="s">
        <v>243</v>
      </c>
      <c r="C7" s="33" t="s">
        <v>236</v>
      </c>
      <c r="D7" s="5" t="s">
        <v>244</v>
      </c>
    </row>
    <row r="8" spans="1:4" ht="60" customHeight="1" x14ac:dyDescent="0.2">
      <c r="A8" s="2" t="s">
        <v>245</v>
      </c>
      <c r="B8" s="5" t="s">
        <v>246</v>
      </c>
      <c r="C8" s="33" t="s">
        <v>236</v>
      </c>
      <c r="D8" s="5" t="s">
        <v>247</v>
      </c>
    </row>
    <row r="9" spans="1:4" ht="60" customHeight="1" x14ac:dyDescent="0.2">
      <c r="A9" s="2" t="s">
        <v>248</v>
      </c>
      <c r="B9" s="5" t="s">
        <v>249</v>
      </c>
      <c r="C9" s="33" t="s">
        <v>250</v>
      </c>
      <c r="D9" s="5" t="s">
        <v>251</v>
      </c>
    </row>
    <row r="10" spans="1:4" ht="60" customHeight="1" x14ac:dyDescent="0.2">
      <c r="A10" s="2" t="s">
        <v>252</v>
      </c>
      <c r="B10" s="5" t="s">
        <v>253</v>
      </c>
      <c r="C10" s="33" t="s">
        <v>240</v>
      </c>
      <c r="D10" s="5" t="s">
        <v>254</v>
      </c>
    </row>
  </sheetData>
  <mergeCells count="2">
    <mergeCell ref="A1:D1"/>
    <mergeCell ref="A2:D2"/>
  </mergeCells>
  <conditionalFormatting sqref="C5:C10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pageMargins left="0.4" right="0.4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Cover</vt:lpstr>
      <vt:lpstr>Assumptions</vt:lpstr>
      <vt:lpstr>COGS Calculator</vt:lpstr>
      <vt:lpstr>Tier Economics</vt:lpstr>
      <vt:lpstr>Scenarios</vt:lpstr>
      <vt:lpstr>Setup Fees</vt:lpstr>
      <vt:lpstr>Fixed Costs</vt:lpstr>
      <vt:lpstr>Year-1 Projection</vt:lpstr>
      <vt:lpstr>Risk Register</vt:lpstr>
      <vt:lpstr>IN_ANCHOR_CLIENTS</vt:lpstr>
      <vt:lpstr>IN_AVG_CHAT_DURATION</vt:lpstr>
      <vt:lpstr>IN_AVG_VOICE_DURATION</vt:lpstr>
      <vt:lpstr>IN_ELEVEN_BASE_USD_MO</vt:lpstr>
      <vt:lpstr>IN_ELEVEN_USD_MIN</vt:lpstr>
      <vt:lpstr>IN_FIXED_ALLOC_CLIENTS</vt:lpstr>
      <vt:lpstr>IN_FX_EUR_AUD</vt:lpstr>
      <vt:lpstr>IN_FX_USD_AUD</vt:lpstr>
      <vt:lpstr>IN_INBOUND_RATIO</vt:lpstr>
      <vt:lpstr>IN_N8N_HOST_USD_MO</vt:lpstr>
      <vt:lpstr>IN_RETELL_KB_USD_MO</vt:lpstr>
      <vt:lpstr>IN_RETELL_USD_MIN</vt:lpstr>
      <vt:lpstr>IN_SUPABASE_USD_MO</vt:lpstr>
      <vt:lpstr>IN_TARGET_GM</vt:lpstr>
      <vt:lpstr>IN_TWILIO_IN_AUD_MIN</vt:lpstr>
      <vt:lpstr>IN_TWILIO_NUMBER_AUD</vt:lpstr>
      <vt:lpstr>IN_TWILIO_OUT_AUD_MIN</vt:lpstr>
      <vt:lpstr>IN_VERCEL_AUD_MO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Mirandilla</cp:lastModifiedBy>
  <dcterms:created xsi:type="dcterms:W3CDTF">2026-05-18T12:52:22Z</dcterms:created>
  <dcterms:modified xsi:type="dcterms:W3CDTF">2026-05-18T13:40:59Z</dcterms:modified>
</cp:coreProperties>
</file>